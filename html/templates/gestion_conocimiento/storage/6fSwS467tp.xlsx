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qoutsourcing-my.sharepoint.com/personal/erikaj_garcia_iq-online_com/Documents/DPS/INFORME PARA TODOS LOS CANALES DPS ENERO/"/>
    </mc:Choice>
  </mc:AlternateContent>
  <xr:revisionPtr revIDLastSave="0" documentId="8_{D0EDD731-F26E-420E-8A08-D29D31B3F4E8}" xr6:coauthVersionLast="47" xr6:coauthVersionMax="47" xr10:uidLastSave="{00000000-0000-0000-0000-000000000000}"/>
  <bookViews>
    <workbookView xWindow="-120" yWindow="-120" windowWidth="20730" windowHeight="11160" xr2:uid="{BCEB651C-05E2-45C4-B7A0-E491272FF4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1" l="1"/>
  <c r="AA55" i="1" s="1"/>
  <c r="Y55" i="1"/>
  <c r="AB55" i="1" s="1"/>
  <c r="Z54" i="1"/>
  <c r="AA54" i="1" s="1"/>
  <c r="Y54" i="1"/>
  <c r="AB54" i="1" s="1"/>
  <c r="Z53" i="1"/>
  <c r="AA53" i="1" s="1"/>
  <c r="Y53" i="1"/>
  <c r="AB53" i="1" s="1"/>
  <c r="Z52" i="1"/>
  <c r="AA52" i="1" s="1"/>
  <c r="Y52" i="1"/>
  <c r="AB52" i="1" s="1"/>
  <c r="Z51" i="1"/>
  <c r="AA51" i="1" s="1"/>
  <c r="Y51" i="1"/>
  <c r="AB51" i="1" s="1"/>
  <c r="Z50" i="1"/>
  <c r="AA50" i="1" s="1"/>
  <c r="Y50" i="1"/>
  <c r="AB50" i="1" s="1"/>
  <c r="Z49" i="1"/>
  <c r="AA49" i="1" s="1"/>
  <c r="Y49" i="1"/>
  <c r="AB49" i="1" s="1"/>
  <c r="Z48" i="1"/>
  <c r="AA48" i="1" s="1"/>
  <c r="Y48" i="1"/>
  <c r="AB48" i="1" s="1"/>
  <c r="Z47" i="1"/>
  <c r="AA47" i="1" s="1"/>
  <c r="Y47" i="1"/>
  <c r="AB47" i="1" s="1"/>
  <c r="Z46" i="1"/>
  <c r="AA46" i="1" s="1"/>
  <c r="Y46" i="1"/>
  <c r="AB46" i="1" s="1"/>
  <c r="Z45" i="1"/>
  <c r="AA45" i="1" s="1"/>
  <c r="Y45" i="1"/>
  <c r="AB45" i="1" s="1"/>
  <c r="Z44" i="1"/>
  <c r="AA44" i="1" s="1"/>
  <c r="Y44" i="1"/>
  <c r="AB44" i="1" s="1"/>
  <c r="Z43" i="1"/>
  <c r="AA43" i="1" s="1"/>
  <c r="Y43" i="1"/>
  <c r="AB43" i="1" s="1"/>
  <c r="Z42" i="1"/>
  <c r="AA42" i="1" s="1"/>
  <c r="Y42" i="1"/>
  <c r="AB42" i="1" s="1"/>
  <c r="Z41" i="1"/>
  <c r="AA41" i="1" s="1"/>
  <c r="Y41" i="1"/>
  <c r="AB41" i="1" s="1"/>
  <c r="Z40" i="1"/>
  <c r="AA40" i="1" s="1"/>
  <c r="Y40" i="1"/>
  <c r="AB40" i="1" s="1"/>
  <c r="Z39" i="1"/>
  <c r="AA39" i="1" s="1"/>
  <c r="Y39" i="1"/>
  <c r="AB39" i="1" s="1"/>
  <c r="Z38" i="1"/>
  <c r="AA38" i="1" s="1"/>
  <c r="Y38" i="1"/>
  <c r="AB38" i="1" s="1"/>
  <c r="Z37" i="1"/>
  <c r="AA37" i="1" s="1"/>
  <c r="Y37" i="1"/>
  <c r="AB37" i="1" s="1"/>
  <c r="Z36" i="1"/>
  <c r="AA36" i="1" s="1"/>
  <c r="Y36" i="1"/>
  <c r="AB36" i="1" s="1"/>
  <c r="Z35" i="1"/>
  <c r="AA35" i="1" s="1"/>
  <c r="Y35" i="1"/>
  <c r="AB35" i="1" s="1"/>
  <c r="Z34" i="1"/>
  <c r="AA34" i="1" s="1"/>
  <c r="Y34" i="1"/>
  <c r="AB34" i="1" s="1"/>
  <c r="Z33" i="1"/>
  <c r="AA33" i="1" s="1"/>
  <c r="Y33" i="1"/>
  <c r="AB33" i="1" s="1"/>
  <c r="Z32" i="1"/>
  <c r="AA32" i="1" s="1"/>
  <c r="Y32" i="1"/>
  <c r="AB32" i="1" s="1"/>
  <c r="Z31" i="1"/>
  <c r="AA31" i="1" s="1"/>
  <c r="Y31" i="1"/>
  <c r="AB31" i="1" s="1"/>
  <c r="Z30" i="1"/>
  <c r="AA30" i="1" s="1"/>
  <c r="Y30" i="1"/>
  <c r="AB30" i="1" s="1"/>
  <c r="Z29" i="1"/>
  <c r="AA29" i="1" s="1"/>
  <c r="Y29" i="1"/>
  <c r="AB29" i="1" s="1"/>
  <c r="Z28" i="1"/>
  <c r="AA28" i="1" s="1"/>
  <c r="Y28" i="1"/>
  <c r="AB28" i="1" s="1"/>
  <c r="Z27" i="1"/>
  <c r="AA27" i="1" s="1"/>
  <c r="Y27" i="1"/>
  <c r="AB27" i="1" s="1"/>
  <c r="Z26" i="1"/>
  <c r="AA26" i="1" s="1"/>
  <c r="Y26" i="1"/>
  <c r="AB26" i="1" s="1"/>
  <c r="Z25" i="1"/>
  <c r="AA25" i="1" s="1"/>
  <c r="Y25" i="1"/>
  <c r="AB25" i="1" s="1"/>
  <c r="Z24" i="1"/>
  <c r="AA24" i="1" s="1"/>
  <c r="Y24" i="1"/>
  <c r="AB24" i="1" s="1"/>
  <c r="Z23" i="1"/>
  <c r="AA23" i="1" s="1"/>
  <c r="Y23" i="1"/>
  <c r="AB23" i="1" s="1"/>
  <c r="Z22" i="1"/>
  <c r="AA22" i="1" s="1"/>
  <c r="Y22" i="1"/>
  <c r="AB22" i="1" s="1"/>
  <c r="Z21" i="1"/>
  <c r="AA21" i="1" s="1"/>
  <c r="Y21" i="1"/>
  <c r="AB21" i="1" s="1"/>
  <c r="Z20" i="1"/>
  <c r="AA20" i="1" s="1"/>
  <c r="Y20" i="1"/>
  <c r="AB20" i="1" s="1"/>
  <c r="Z19" i="1"/>
  <c r="AA19" i="1" s="1"/>
  <c r="Y19" i="1"/>
  <c r="AB19" i="1" s="1"/>
  <c r="Z18" i="1"/>
  <c r="AA18" i="1" s="1"/>
  <c r="Y18" i="1"/>
  <c r="AB18" i="1" s="1"/>
  <c r="Z17" i="1"/>
  <c r="AA17" i="1" s="1"/>
  <c r="Y17" i="1"/>
  <c r="AB17" i="1" s="1"/>
  <c r="Z16" i="1"/>
  <c r="AA16" i="1" s="1"/>
  <c r="Y16" i="1"/>
  <c r="AB16" i="1" s="1"/>
  <c r="Z15" i="1"/>
  <c r="AA15" i="1" s="1"/>
  <c r="Y15" i="1"/>
  <c r="AB15" i="1" s="1"/>
  <c r="Z14" i="1"/>
  <c r="AA14" i="1" s="1"/>
  <c r="Y14" i="1"/>
  <c r="AB14" i="1" s="1"/>
  <c r="Z13" i="1"/>
  <c r="AA13" i="1" s="1"/>
  <c r="Y13" i="1"/>
  <c r="AB13" i="1" s="1"/>
  <c r="Z12" i="1"/>
  <c r="AA12" i="1" s="1"/>
  <c r="Y12" i="1"/>
  <c r="AB12" i="1" s="1"/>
  <c r="Z11" i="1"/>
  <c r="AA11" i="1" s="1"/>
  <c r="Y11" i="1"/>
  <c r="AB11" i="1" s="1"/>
  <c r="Z10" i="1"/>
  <c r="AA10" i="1" s="1"/>
  <c r="Y10" i="1"/>
  <c r="AB10" i="1" s="1"/>
  <c r="Z9" i="1"/>
  <c r="AA9" i="1" s="1"/>
  <c r="Y9" i="1"/>
  <c r="AB9" i="1" s="1"/>
</calcChain>
</file>

<file path=xl/sharedStrings.xml><?xml version="1.0" encoding="utf-8"?>
<sst xmlns="http://schemas.openxmlformats.org/spreadsheetml/2006/main" count="190" uniqueCount="29">
  <si>
    <t>ECA 
INFORME
CLIENTE</t>
  </si>
  <si>
    <t>ECA 
EVALUACIÓN DESEMPEÑO</t>
  </si>
  <si>
    <t xml:space="preserve">DETALLE DE NOTAS PLANTA INSCRIPCIONES FA </t>
  </si>
  <si>
    <t>CÉDULA</t>
  </si>
  <si>
    <t>MIERCOLES</t>
  </si>
  <si>
    <t>JUEVES</t>
  </si>
  <si>
    <t>VIERNES</t>
  </si>
  <si>
    <t>EVALUACIÓN</t>
  </si>
  <si>
    <t>LUNES</t>
  </si>
  <si>
    <t>MARTES</t>
  </si>
  <si>
    <t>MIÉRCOLES</t>
  </si>
  <si>
    <t>PROMEDIO
PRE TURNOS</t>
  </si>
  <si>
    <t>PROMEDIO EVALUACIONES</t>
  </si>
  <si>
    <t>NOTA 
FINAL</t>
  </si>
  <si>
    <t>NOTA FINAL FORMACIÓN</t>
  </si>
  <si>
    <t>SEMANA 1</t>
  </si>
  <si>
    <t>SEMANA 2</t>
  </si>
  <si>
    <t>SEMANA 3</t>
  </si>
  <si>
    <t>EVA FINAL</t>
  </si>
  <si>
    <t>ECA</t>
  </si>
  <si>
    <t>FINAL</t>
  </si>
  <si>
    <t>NA</t>
  </si>
  <si>
    <t>DF</t>
  </si>
  <si>
    <t>NV</t>
  </si>
  <si>
    <t>COMP</t>
  </si>
  <si>
    <t>INC</t>
  </si>
  <si>
    <t>DC</t>
  </si>
  <si>
    <t>CAL</t>
  </si>
  <si>
    <t>FERIA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</si>
</sst>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Tahoma"/>
      <family val="2"/>
    </font>
    <font>
      <b/>
      <sz val="9"/>
      <color theme="0"/>
      <name val="Calibri"/>
      <family val="2"/>
      <scheme val="minor"/>
    </font>
    <font>
      <sz val="9"/>
      <color rgb="FFFFFFFF"/>
      <name val="Tahoma"/>
      <family val="2"/>
    </font>
    <font>
      <b/>
      <sz val="9"/>
      <color theme="0"/>
      <name val="Calibri Light"/>
      <family val="2"/>
      <scheme val="major"/>
    </font>
    <font>
      <sz val="9"/>
      <color theme="0"/>
      <name val="Tahoma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1" fontId="7" fillId="7" borderId="13" xfId="0" applyNumberFormat="1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14" fontId="5" fillId="8" borderId="15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9" fontId="7" fillId="7" borderId="18" xfId="0" applyNumberFormat="1" applyFont="1" applyFill="1" applyBorder="1" applyAlignment="1">
      <alignment horizontal="center" vertical="center"/>
    </xf>
    <xf numFmtId="1" fontId="7" fillId="7" borderId="19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1" xfId="0" quotePrefix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" fontId="9" fillId="9" borderId="23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8" fillId="10" borderId="24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11" borderId="20" xfId="0" applyFont="1" applyFill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6" xfId="0" quotePrefix="1" applyFont="1" applyBorder="1" applyAlignment="1">
      <alignment horizontal="center"/>
    </xf>
    <xf numFmtId="1" fontId="9" fillId="9" borderId="18" xfId="0" applyNumberFormat="1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29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6CA9-CA3A-4AE9-9C46-CE577FE5D5D3}">
  <dimension ref="B1:AB74"/>
  <sheetViews>
    <sheetView tabSelected="1" workbookViewId="0">
      <selection activeCell="B3" sqref="B3"/>
    </sheetView>
  </sheetViews>
  <sheetFormatPr baseColWidth="10" defaultColWidth="10.85546875" defaultRowHeight="15" x14ac:dyDescent="0.25"/>
  <cols>
    <col min="1" max="1" width="10.85546875" style="1"/>
    <col min="2" max="2" width="17.140625" style="1" customWidth="1"/>
    <col min="3" max="6" width="10.85546875" style="1"/>
    <col min="10" max="10" width="10.85546875" style="1"/>
    <col min="15" max="15" width="13.42578125" customWidth="1"/>
    <col min="18" max="18" width="10.85546875" style="50"/>
    <col min="21" max="21" width="12.140625" customWidth="1"/>
    <col min="25" max="25" width="13.28515625" style="1" customWidth="1"/>
    <col min="26" max="26" width="13.140625" style="1" customWidth="1"/>
    <col min="27" max="16384" width="10.85546875" style="1"/>
  </cols>
  <sheetData>
    <row r="1" spans="2:28" x14ac:dyDescent="0.25">
      <c r="G1" s="1"/>
      <c r="H1" s="1"/>
      <c r="I1" s="1"/>
      <c r="K1" s="1"/>
      <c r="L1" s="1"/>
      <c r="M1" s="1"/>
      <c r="N1" s="1"/>
      <c r="O1" s="1"/>
      <c r="P1" s="1"/>
      <c r="Q1" s="1"/>
      <c r="R1" s="2"/>
      <c r="S1" s="1"/>
      <c r="T1" s="1"/>
      <c r="U1" s="1"/>
      <c r="V1" s="1"/>
      <c r="W1" s="1"/>
      <c r="X1" s="1"/>
    </row>
    <row r="2" spans="2:28" x14ac:dyDescent="0.25">
      <c r="G2" s="1"/>
      <c r="H2" s="1"/>
      <c r="I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</row>
    <row r="3" spans="2:28" ht="15" customHeight="1" thickBot="1" x14ac:dyDescent="0.3">
      <c r="G3" s="1"/>
      <c r="H3" s="1"/>
      <c r="I3" s="1"/>
      <c r="K3" s="1"/>
      <c r="L3" s="1"/>
      <c r="M3" s="1"/>
      <c r="N3" s="1"/>
      <c r="O3" s="1"/>
      <c r="P3" s="1"/>
      <c r="Q3" s="1"/>
      <c r="R3" s="2"/>
      <c r="S3" s="1"/>
      <c r="T3" s="1"/>
      <c r="U3" s="1"/>
      <c r="V3" s="1"/>
      <c r="W3" s="1"/>
      <c r="X3" s="1"/>
    </row>
    <row r="4" spans="2:28" x14ac:dyDescent="0.25">
      <c r="G4" s="1"/>
      <c r="H4" s="1"/>
      <c r="I4" s="1"/>
      <c r="K4" s="1"/>
      <c r="L4" s="1"/>
      <c r="M4" s="1"/>
      <c r="N4" s="1"/>
      <c r="O4" s="1"/>
      <c r="P4" s="1"/>
      <c r="Q4" s="1"/>
      <c r="R4" s="2"/>
      <c r="S4" s="1"/>
      <c r="T4" s="1"/>
      <c r="U4" s="1"/>
      <c r="V4" s="1"/>
      <c r="W4" s="1"/>
      <c r="X4" s="1"/>
      <c r="AA4" s="3" t="s">
        <v>0</v>
      </c>
      <c r="AB4" s="4" t="s">
        <v>1</v>
      </c>
    </row>
    <row r="5" spans="2:28" x14ac:dyDescent="0.25">
      <c r="G5" s="1"/>
      <c r="H5" s="1"/>
      <c r="I5" s="1"/>
      <c r="K5" s="1"/>
      <c r="L5" s="1"/>
      <c r="M5" s="1"/>
      <c r="N5" s="1"/>
      <c r="O5" s="1"/>
      <c r="P5" s="1"/>
      <c r="Q5" s="1"/>
      <c r="R5" s="2"/>
      <c r="S5" s="1"/>
      <c r="T5" s="1"/>
      <c r="U5" s="1"/>
      <c r="V5" s="1"/>
      <c r="W5" s="1"/>
      <c r="X5" s="1"/>
      <c r="AA5" s="5"/>
      <c r="AB5" s="6"/>
    </row>
    <row r="6" spans="2:28" ht="15.75" thickBot="1" x14ac:dyDescent="0.3">
      <c r="B6" s="51" t="s">
        <v>2</v>
      </c>
      <c r="C6" s="52"/>
      <c r="D6" s="52"/>
      <c r="E6" s="52"/>
      <c r="F6" s="52"/>
      <c r="G6" s="52"/>
      <c r="H6" s="52"/>
      <c r="I6" s="1"/>
      <c r="K6" s="1"/>
      <c r="L6" s="1"/>
      <c r="M6" s="1"/>
      <c r="N6" s="1"/>
      <c r="O6" s="1"/>
      <c r="P6" s="1"/>
      <c r="Q6" s="1"/>
      <c r="R6" s="2"/>
      <c r="S6" s="1"/>
      <c r="T6" s="1"/>
      <c r="U6" s="1"/>
      <c r="V6" s="1"/>
      <c r="W6" s="1"/>
      <c r="X6" s="1"/>
      <c r="AA6" s="7"/>
      <c r="AB6" s="8"/>
    </row>
    <row r="7" spans="2:28" ht="39.950000000000003" customHeight="1" thickBot="1" x14ac:dyDescent="0.3">
      <c r="B7" s="9" t="s">
        <v>3</v>
      </c>
      <c r="C7" s="10" t="s">
        <v>4</v>
      </c>
      <c r="D7" s="11" t="s">
        <v>5</v>
      </c>
      <c r="E7" s="11" t="s">
        <v>6</v>
      </c>
      <c r="F7" s="11" t="s">
        <v>7</v>
      </c>
      <c r="G7" s="11" t="s">
        <v>8</v>
      </c>
      <c r="H7" s="11" t="s">
        <v>9</v>
      </c>
      <c r="I7" s="11" t="s">
        <v>10</v>
      </c>
      <c r="J7" s="11" t="s">
        <v>5</v>
      </c>
      <c r="K7" s="11" t="s">
        <v>6</v>
      </c>
      <c r="L7" s="11" t="s">
        <v>7</v>
      </c>
      <c r="M7" s="11" t="s">
        <v>8</v>
      </c>
      <c r="N7" s="11" t="s">
        <v>9</v>
      </c>
      <c r="O7" s="11" t="s">
        <v>4</v>
      </c>
      <c r="P7" s="11" t="s">
        <v>5</v>
      </c>
      <c r="Q7" s="11" t="s">
        <v>6</v>
      </c>
      <c r="R7" s="11" t="s">
        <v>7</v>
      </c>
      <c r="S7" s="11" t="s">
        <v>8</v>
      </c>
      <c r="T7" s="11" t="s">
        <v>9</v>
      </c>
      <c r="U7" s="11" t="s">
        <v>4</v>
      </c>
      <c r="V7" s="11" t="s">
        <v>5</v>
      </c>
      <c r="W7" s="11" t="s">
        <v>6</v>
      </c>
      <c r="X7" s="11" t="s">
        <v>7</v>
      </c>
      <c r="Y7" s="12" t="s">
        <v>11</v>
      </c>
      <c r="Z7" s="13" t="s">
        <v>12</v>
      </c>
      <c r="AA7" s="14" t="s">
        <v>13</v>
      </c>
      <c r="AB7" s="15" t="s">
        <v>14</v>
      </c>
    </row>
    <row r="8" spans="2:28" x14ac:dyDescent="0.25">
      <c r="B8" s="16"/>
      <c r="C8" s="17">
        <v>45019</v>
      </c>
      <c r="D8" s="17">
        <v>45020</v>
      </c>
      <c r="E8" s="17">
        <v>45021</v>
      </c>
      <c r="F8" s="18" t="s">
        <v>15</v>
      </c>
      <c r="G8" s="17">
        <v>45026</v>
      </c>
      <c r="H8" s="17">
        <v>45027</v>
      </c>
      <c r="I8" s="17">
        <v>45028</v>
      </c>
      <c r="J8" s="17">
        <v>45029</v>
      </c>
      <c r="K8" s="17">
        <v>45030</v>
      </c>
      <c r="L8" s="18" t="s">
        <v>16</v>
      </c>
      <c r="M8" s="17">
        <v>45033</v>
      </c>
      <c r="N8" s="17">
        <v>45034</v>
      </c>
      <c r="O8" s="17">
        <v>45035</v>
      </c>
      <c r="P8" s="17">
        <v>45036</v>
      </c>
      <c r="Q8" s="17">
        <v>45037</v>
      </c>
      <c r="R8" s="18" t="s">
        <v>17</v>
      </c>
      <c r="S8" s="17">
        <v>45040</v>
      </c>
      <c r="T8" s="17">
        <v>45041</v>
      </c>
      <c r="U8" s="17">
        <v>45042</v>
      </c>
      <c r="V8" s="17">
        <v>45043</v>
      </c>
      <c r="W8" s="17">
        <v>45044</v>
      </c>
      <c r="X8" s="18" t="s">
        <v>18</v>
      </c>
      <c r="Y8" s="19"/>
      <c r="Z8" s="20"/>
      <c r="AA8" s="21" t="s">
        <v>19</v>
      </c>
      <c r="AB8" s="22" t="s">
        <v>20</v>
      </c>
    </row>
    <row r="9" spans="2:28" ht="15.75" x14ac:dyDescent="0.25">
      <c r="B9" s="23">
        <v>1032447625</v>
      </c>
      <c r="C9" s="24">
        <v>100</v>
      </c>
      <c r="D9" s="25">
        <v>66.67</v>
      </c>
      <c r="E9" s="26">
        <v>100</v>
      </c>
      <c r="F9" s="26">
        <v>100</v>
      </c>
      <c r="G9" s="24">
        <v>100</v>
      </c>
      <c r="H9" s="27">
        <v>66.67</v>
      </c>
      <c r="I9" s="27">
        <v>100</v>
      </c>
      <c r="J9" s="27">
        <v>100</v>
      </c>
      <c r="K9" s="27">
        <v>100</v>
      </c>
      <c r="L9" s="27">
        <v>85.71</v>
      </c>
      <c r="M9" s="27">
        <v>100</v>
      </c>
      <c r="N9" s="27">
        <v>100</v>
      </c>
      <c r="O9" s="27">
        <v>66.67</v>
      </c>
      <c r="P9" s="27">
        <v>100</v>
      </c>
      <c r="Q9" s="27">
        <v>97.5</v>
      </c>
      <c r="R9" s="27">
        <v>100</v>
      </c>
      <c r="S9" s="24">
        <v>100</v>
      </c>
      <c r="T9" s="28"/>
      <c r="U9" s="29"/>
      <c r="V9" s="29"/>
      <c r="W9" s="29"/>
      <c r="X9" s="29"/>
      <c r="Y9" s="30">
        <f t="shared" ref="Y9:Y55" si="0">AVERAGE(C9:E9,G9:K9,M9:Q9,S9:W9)</f>
        <v>92.679285714285712</v>
      </c>
      <c r="Z9" s="30">
        <f t="shared" ref="Z9:Z55" si="1">AVERAGE(F9,L9,R9,X9)</f>
        <v>95.236666666666665</v>
      </c>
      <c r="AA9" s="30">
        <f>Z9</f>
        <v>95.236666666666665</v>
      </c>
      <c r="AB9" s="30">
        <f>(Y9*40%)+(Z9*60%)</f>
        <v>94.213714285714275</v>
      </c>
    </row>
    <row r="10" spans="2:28" ht="15.75" x14ac:dyDescent="0.25">
      <c r="B10" s="31">
        <v>1074556922</v>
      </c>
      <c r="C10" s="24">
        <v>100</v>
      </c>
      <c r="D10" s="25">
        <v>66.67</v>
      </c>
      <c r="E10" s="27">
        <v>100</v>
      </c>
      <c r="F10" s="27">
        <v>98.57</v>
      </c>
      <c r="G10" s="24">
        <v>100</v>
      </c>
      <c r="H10" s="27">
        <v>100</v>
      </c>
      <c r="I10" s="27">
        <v>69.7</v>
      </c>
      <c r="J10" s="27">
        <v>100</v>
      </c>
      <c r="K10" s="27">
        <v>97.5</v>
      </c>
      <c r="L10" s="27">
        <v>100</v>
      </c>
      <c r="M10" s="27">
        <v>66.67</v>
      </c>
      <c r="N10" s="27">
        <v>100</v>
      </c>
      <c r="O10" s="27">
        <v>100</v>
      </c>
      <c r="P10" s="27">
        <v>100</v>
      </c>
      <c r="Q10" s="27">
        <v>97.5</v>
      </c>
      <c r="R10" s="27">
        <v>100</v>
      </c>
      <c r="S10" s="24">
        <v>100</v>
      </c>
      <c r="T10" s="28"/>
      <c r="U10" s="29"/>
      <c r="V10" s="29"/>
      <c r="W10" s="29"/>
      <c r="X10" s="29"/>
      <c r="Y10" s="30">
        <f t="shared" si="0"/>
        <v>92.717142857142861</v>
      </c>
      <c r="Z10" s="30">
        <f t="shared" si="1"/>
        <v>99.523333333333326</v>
      </c>
      <c r="AA10" s="30">
        <f t="shared" ref="AA10:AA55" si="2">Z10</f>
        <v>99.523333333333326</v>
      </c>
      <c r="AB10" s="30">
        <f t="shared" ref="AB10:AB55" si="3">(Y10*40%)+(Z10*60%)</f>
        <v>96.80085714285714</v>
      </c>
    </row>
    <row r="11" spans="2:28" ht="15.75" x14ac:dyDescent="0.25">
      <c r="B11" s="32">
        <v>1023019194</v>
      </c>
      <c r="C11" s="24">
        <v>100</v>
      </c>
      <c r="D11" s="25">
        <v>100</v>
      </c>
      <c r="E11" s="27">
        <v>100</v>
      </c>
      <c r="F11" s="27">
        <v>100</v>
      </c>
      <c r="G11" s="24">
        <v>100</v>
      </c>
      <c r="H11" s="27">
        <v>100</v>
      </c>
      <c r="I11" s="27">
        <v>100</v>
      </c>
      <c r="J11" s="27" t="s">
        <v>21</v>
      </c>
      <c r="K11" s="27" t="s">
        <v>21</v>
      </c>
      <c r="L11" s="27" t="s">
        <v>21</v>
      </c>
      <c r="M11" s="27" t="s">
        <v>21</v>
      </c>
      <c r="N11" s="27" t="s">
        <v>21</v>
      </c>
      <c r="O11" s="27" t="s">
        <v>21</v>
      </c>
      <c r="P11" s="27" t="s">
        <v>21</v>
      </c>
      <c r="Q11" s="27" t="s">
        <v>21</v>
      </c>
      <c r="R11" s="27" t="s">
        <v>21</v>
      </c>
      <c r="S11" s="24" t="s">
        <v>21</v>
      </c>
      <c r="T11" s="28"/>
      <c r="U11" s="29"/>
      <c r="V11" s="29"/>
      <c r="W11" s="29"/>
      <c r="X11" s="29"/>
      <c r="Y11" s="30">
        <f t="shared" si="0"/>
        <v>100</v>
      </c>
      <c r="Z11" s="30">
        <f t="shared" si="1"/>
        <v>100</v>
      </c>
      <c r="AA11" s="30">
        <f t="shared" si="2"/>
        <v>100</v>
      </c>
      <c r="AB11" s="30">
        <f t="shared" si="3"/>
        <v>100</v>
      </c>
    </row>
    <row r="12" spans="2:28" ht="15.75" x14ac:dyDescent="0.25">
      <c r="B12" s="32">
        <v>1014234159</v>
      </c>
      <c r="C12" s="24">
        <v>100</v>
      </c>
      <c r="D12" s="25">
        <v>66.67</v>
      </c>
      <c r="E12" s="27">
        <v>100</v>
      </c>
      <c r="F12" s="27">
        <v>100</v>
      </c>
      <c r="G12" s="24" t="s">
        <v>22</v>
      </c>
      <c r="H12" s="27">
        <v>100</v>
      </c>
      <c r="I12" s="27">
        <v>100</v>
      </c>
      <c r="J12" s="27" t="s">
        <v>21</v>
      </c>
      <c r="K12" s="27" t="s">
        <v>21</v>
      </c>
      <c r="L12" s="27" t="s">
        <v>21</v>
      </c>
      <c r="M12" s="27" t="s">
        <v>21</v>
      </c>
      <c r="N12" s="27" t="s">
        <v>21</v>
      </c>
      <c r="O12" s="27" t="s">
        <v>21</v>
      </c>
      <c r="P12" s="27" t="s">
        <v>21</v>
      </c>
      <c r="Q12" s="27" t="s">
        <v>21</v>
      </c>
      <c r="R12" s="27" t="s">
        <v>21</v>
      </c>
      <c r="S12" s="24" t="s">
        <v>21</v>
      </c>
      <c r="T12" s="28"/>
      <c r="U12" s="29"/>
      <c r="V12" s="29"/>
      <c r="W12" s="29"/>
      <c r="X12" s="29"/>
      <c r="Y12" s="30">
        <f t="shared" si="0"/>
        <v>93.334000000000003</v>
      </c>
      <c r="Z12" s="30">
        <f t="shared" si="1"/>
        <v>100</v>
      </c>
      <c r="AA12" s="30">
        <f t="shared" si="2"/>
        <v>100</v>
      </c>
      <c r="AB12" s="30">
        <f t="shared" si="3"/>
        <v>97.333600000000004</v>
      </c>
    </row>
    <row r="13" spans="2:28" ht="15.75" x14ac:dyDescent="0.25">
      <c r="B13" s="32">
        <v>1090476688</v>
      </c>
      <c r="C13" s="24">
        <v>100</v>
      </c>
      <c r="D13" s="25">
        <v>100</v>
      </c>
      <c r="E13" s="27">
        <v>100</v>
      </c>
      <c r="F13" s="27">
        <v>100</v>
      </c>
      <c r="G13" s="24" t="s">
        <v>23</v>
      </c>
      <c r="H13" s="27" t="s">
        <v>22</v>
      </c>
      <c r="I13" s="27" t="s">
        <v>24</v>
      </c>
      <c r="J13" s="27">
        <v>100</v>
      </c>
      <c r="K13" s="27">
        <v>100</v>
      </c>
      <c r="L13" s="27">
        <v>85.71</v>
      </c>
      <c r="M13" s="27">
        <v>100</v>
      </c>
      <c r="N13" s="27">
        <v>100</v>
      </c>
      <c r="O13" s="27">
        <v>100</v>
      </c>
      <c r="P13" s="27">
        <v>100</v>
      </c>
      <c r="Q13" s="27">
        <v>100</v>
      </c>
      <c r="R13" s="27">
        <v>100</v>
      </c>
      <c r="S13" s="24">
        <v>100</v>
      </c>
      <c r="T13" s="28"/>
      <c r="U13" s="29"/>
      <c r="V13" s="29"/>
      <c r="W13" s="29"/>
      <c r="X13" s="29"/>
      <c r="Y13" s="30">
        <f t="shared" si="0"/>
        <v>100</v>
      </c>
      <c r="Z13" s="30">
        <f t="shared" si="1"/>
        <v>95.236666666666665</v>
      </c>
      <c r="AA13" s="30">
        <f t="shared" si="2"/>
        <v>95.236666666666665</v>
      </c>
      <c r="AB13" s="30">
        <f t="shared" si="3"/>
        <v>97.141999999999996</v>
      </c>
    </row>
    <row r="14" spans="2:28" ht="15.75" x14ac:dyDescent="0.25">
      <c r="B14" s="32">
        <v>1019043867</v>
      </c>
      <c r="C14" s="24">
        <v>100</v>
      </c>
      <c r="D14" s="25">
        <v>100</v>
      </c>
      <c r="E14" s="27">
        <v>100</v>
      </c>
      <c r="F14" s="27">
        <v>100</v>
      </c>
      <c r="G14" s="24">
        <v>100</v>
      </c>
      <c r="H14" s="27">
        <v>100</v>
      </c>
      <c r="I14" s="27">
        <v>100</v>
      </c>
      <c r="J14" s="27" t="s">
        <v>21</v>
      </c>
      <c r="K14" s="27" t="s">
        <v>21</v>
      </c>
      <c r="L14" s="27" t="s">
        <v>21</v>
      </c>
      <c r="M14" s="27" t="s">
        <v>21</v>
      </c>
      <c r="N14" s="27" t="s">
        <v>21</v>
      </c>
      <c r="O14" s="27" t="s">
        <v>21</v>
      </c>
      <c r="P14" s="27" t="s">
        <v>21</v>
      </c>
      <c r="Q14" s="27" t="s">
        <v>21</v>
      </c>
      <c r="R14" s="27" t="s">
        <v>21</v>
      </c>
      <c r="S14" s="24" t="s">
        <v>21</v>
      </c>
      <c r="T14" s="33"/>
      <c r="U14" s="33"/>
      <c r="V14" s="33"/>
      <c r="W14" s="33"/>
      <c r="X14" s="34"/>
      <c r="Y14" s="30">
        <f t="shared" si="0"/>
        <v>100</v>
      </c>
      <c r="Z14" s="30">
        <f t="shared" si="1"/>
        <v>100</v>
      </c>
      <c r="AA14" s="30">
        <f t="shared" si="2"/>
        <v>100</v>
      </c>
      <c r="AB14" s="30">
        <f t="shared" si="3"/>
        <v>100</v>
      </c>
    </row>
    <row r="15" spans="2:28" ht="15.75" x14ac:dyDescent="0.25">
      <c r="B15" s="32">
        <v>1014278906</v>
      </c>
      <c r="C15" s="24">
        <v>100</v>
      </c>
      <c r="D15" s="25">
        <v>100</v>
      </c>
      <c r="E15" s="27">
        <v>100</v>
      </c>
      <c r="F15" s="27">
        <v>95.92</v>
      </c>
      <c r="G15" s="24">
        <v>100</v>
      </c>
      <c r="H15" s="27">
        <v>100</v>
      </c>
      <c r="I15" s="27">
        <v>100</v>
      </c>
      <c r="J15" s="27" t="s">
        <v>21</v>
      </c>
      <c r="K15" s="27" t="s">
        <v>21</v>
      </c>
      <c r="L15" s="27" t="s">
        <v>21</v>
      </c>
      <c r="M15" s="27" t="s">
        <v>21</v>
      </c>
      <c r="N15" s="27" t="s">
        <v>21</v>
      </c>
      <c r="O15" s="27" t="s">
        <v>21</v>
      </c>
      <c r="P15" s="27" t="s">
        <v>21</v>
      </c>
      <c r="Q15" s="27" t="s">
        <v>21</v>
      </c>
      <c r="R15" s="27" t="s">
        <v>21</v>
      </c>
      <c r="S15" s="24" t="s">
        <v>21</v>
      </c>
      <c r="T15" s="33"/>
      <c r="U15" s="33"/>
      <c r="V15" s="33"/>
      <c r="W15" s="33"/>
      <c r="X15" s="34"/>
      <c r="Y15" s="30">
        <f t="shared" si="0"/>
        <v>100</v>
      </c>
      <c r="Z15" s="30">
        <f t="shared" si="1"/>
        <v>95.92</v>
      </c>
      <c r="AA15" s="30">
        <f t="shared" si="2"/>
        <v>95.92</v>
      </c>
      <c r="AB15" s="30">
        <f t="shared" si="3"/>
        <v>97.551999999999992</v>
      </c>
    </row>
    <row r="16" spans="2:28" ht="15.75" x14ac:dyDescent="0.25">
      <c r="B16" s="32">
        <v>1000694935</v>
      </c>
      <c r="C16" s="24">
        <v>100</v>
      </c>
      <c r="D16" s="25">
        <v>100</v>
      </c>
      <c r="E16" s="27">
        <v>100</v>
      </c>
      <c r="F16" s="27">
        <v>100</v>
      </c>
      <c r="G16" s="24">
        <v>100</v>
      </c>
      <c r="H16" s="27">
        <v>100</v>
      </c>
      <c r="I16" s="27">
        <v>100</v>
      </c>
      <c r="J16" s="27">
        <v>100</v>
      </c>
      <c r="K16" s="27" t="s">
        <v>22</v>
      </c>
      <c r="L16" s="27">
        <v>82.14</v>
      </c>
      <c r="M16" s="27">
        <v>100</v>
      </c>
      <c r="N16" s="27">
        <v>100</v>
      </c>
      <c r="O16" s="27">
        <v>100</v>
      </c>
      <c r="P16" s="27">
        <v>100</v>
      </c>
      <c r="Q16" s="27">
        <v>100</v>
      </c>
      <c r="R16" s="27">
        <v>100</v>
      </c>
      <c r="S16" s="24">
        <v>100</v>
      </c>
      <c r="T16" s="33"/>
      <c r="U16" s="33"/>
      <c r="V16" s="33"/>
      <c r="W16" s="33"/>
      <c r="X16" s="34"/>
      <c r="Y16" s="30">
        <f t="shared" si="0"/>
        <v>100</v>
      </c>
      <c r="Z16" s="30">
        <f t="shared" si="1"/>
        <v>94.046666666666667</v>
      </c>
      <c r="AA16" s="30">
        <f t="shared" si="2"/>
        <v>94.046666666666667</v>
      </c>
      <c r="AB16" s="30">
        <f t="shared" si="3"/>
        <v>96.427999999999997</v>
      </c>
    </row>
    <row r="17" spans="2:28" ht="15.75" x14ac:dyDescent="0.25">
      <c r="B17" s="32">
        <v>52222475</v>
      </c>
      <c r="C17" s="24">
        <v>100</v>
      </c>
      <c r="D17" s="25">
        <v>66.67</v>
      </c>
      <c r="E17" s="27">
        <v>100</v>
      </c>
      <c r="F17" s="27">
        <v>97.96</v>
      </c>
      <c r="G17" s="24">
        <v>100</v>
      </c>
      <c r="H17" s="27">
        <v>100</v>
      </c>
      <c r="I17" s="27">
        <v>100</v>
      </c>
      <c r="J17" s="27" t="s">
        <v>21</v>
      </c>
      <c r="K17" s="27" t="s">
        <v>21</v>
      </c>
      <c r="L17" s="27" t="s">
        <v>21</v>
      </c>
      <c r="M17" s="27" t="s">
        <v>21</v>
      </c>
      <c r="N17" s="27" t="s">
        <v>21</v>
      </c>
      <c r="O17" s="27" t="s">
        <v>21</v>
      </c>
      <c r="P17" s="27" t="s">
        <v>21</v>
      </c>
      <c r="Q17" s="27" t="s">
        <v>21</v>
      </c>
      <c r="R17" s="27" t="s">
        <v>21</v>
      </c>
      <c r="S17" s="24" t="s">
        <v>21</v>
      </c>
      <c r="T17" s="33"/>
      <c r="U17" s="33"/>
      <c r="V17" s="33"/>
      <c r="W17" s="33"/>
      <c r="X17" s="34"/>
      <c r="Y17" s="30">
        <f t="shared" si="0"/>
        <v>94.445000000000007</v>
      </c>
      <c r="Z17" s="30">
        <f t="shared" si="1"/>
        <v>97.96</v>
      </c>
      <c r="AA17" s="30">
        <f t="shared" si="2"/>
        <v>97.96</v>
      </c>
      <c r="AB17" s="30">
        <f t="shared" si="3"/>
        <v>96.554000000000002</v>
      </c>
    </row>
    <row r="18" spans="2:28" ht="15.75" x14ac:dyDescent="0.25">
      <c r="B18" s="32">
        <v>1019150662</v>
      </c>
      <c r="C18" s="24">
        <v>77.78</v>
      </c>
      <c r="D18" s="25">
        <v>100</v>
      </c>
      <c r="E18" s="27">
        <v>100</v>
      </c>
      <c r="F18" s="27">
        <v>91.84</v>
      </c>
      <c r="G18" s="24">
        <v>100</v>
      </c>
      <c r="H18" s="27">
        <v>100</v>
      </c>
      <c r="I18" s="27">
        <v>100</v>
      </c>
      <c r="J18" s="27">
        <v>100</v>
      </c>
      <c r="K18" s="27">
        <v>100</v>
      </c>
      <c r="L18" s="27">
        <v>85.71</v>
      </c>
      <c r="M18" s="27">
        <v>100</v>
      </c>
      <c r="N18" s="27">
        <v>100</v>
      </c>
      <c r="O18" s="27" t="s">
        <v>25</v>
      </c>
      <c r="P18" s="27" t="s">
        <v>25</v>
      </c>
      <c r="Q18" s="27">
        <v>95</v>
      </c>
      <c r="R18" s="27">
        <v>100</v>
      </c>
      <c r="S18" s="24">
        <v>100</v>
      </c>
      <c r="T18" s="33"/>
      <c r="U18" s="33"/>
      <c r="V18" s="33"/>
      <c r="W18" s="33"/>
      <c r="X18" s="34"/>
      <c r="Y18" s="30">
        <f t="shared" si="0"/>
        <v>97.731666666666669</v>
      </c>
      <c r="Z18" s="30">
        <f t="shared" si="1"/>
        <v>92.516666666666666</v>
      </c>
      <c r="AA18" s="30">
        <f t="shared" si="2"/>
        <v>92.516666666666666</v>
      </c>
      <c r="AB18" s="30">
        <f t="shared" si="3"/>
        <v>94.602666666666664</v>
      </c>
    </row>
    <row r="19" spans="2:28" ht="15.75" x14ac:dyDescent="0.25">
      <c r="B19" s="32">
        <v>1003711007</v>
      </c>
      <c r="C19" s="24">
        <v>100</v>
      </c>
      <c r="D19" s="25">
        <v>100</v>
      </c>
      <c r="E19" s="27">
        <v>100</v>
      </c>
      <c r="F19" s="27">
        <v>90.41</v>
      </c>
      <c r="G19" s="24">
        <v>100</v>
      </c>
      <c r="H19" s="27">
        <v>100</v>
      </c>
      <c r="I19" s="27">
        <v>100</v>
      </c>
      <c r="J19" s="27">
        <v>100</v>
      </c>
      <c r="K19" s="27">
        <v>100</v>
      </c>
      <c r="L19" s="27">
        <v>70.709999999999994</v>
      </c>
      <c r="M19" s="27">
        <v>100</v>
      </c>
      <c r="N19" s="27">
        <v>100</v>
      </c>
      <c r="O19" s="27">
        <v>100</v>
      </c>
      <c r="P19" s="27">
        <v>100</v>
      </c>
      <c r="Q19" s="27">
        <v>97.5</v>
      </c>
      <c r="R19" s="27">
        <v>100</v>
      </c>
      <c r="S19" s="24">
        <v>100</v>
      </c>
      <c r="T19" s="33"/>
      <c r="U19" s="33"/>
      <c r="V19" s="33"/>
      <c r="W19" s="33"/>
      <c r="X19" s="34"/>
      <c r="Y19" s="30">
        <f t="shared" si="0"/>
        <v>99.821428571428569</v>
      </c>
      <c r="Z19" s="30">
        <f t="shared" si="1"/>
        <v>87.04</v>
      </c>
      <c r="AA19" s="30">
        <f t="shared" si="2"/>
        <v>87.04</v>
      </c>
      <c r="AB19" s="30">
        <f t="shared" si="3"/>
        <v>92.152571428571434</v>
      </c>
    </row>
    <row r="20" spans="2:28" ht="15.75" x14ac:dyDescent="0.25">
      <c r="B20" s="32">
        <v>1000121580</v>
      </c>
      <c r="C20" s="24">
        <v>100</v>
      </c>
      <c r="D20" s="25">
        <v>100</v>
      </c>
      <c r="E20" s="27">
        <v>100</v>
      </c>
      <c r="F20" s="27">
        <v>91.84</v>
      </c>
      <c r="G20" s="24">
        <v>100</v>
      </c>
      <c r="H20" s="27">
        <v>100</v>
      </c>
      <c r="I20" s="27">
        <v>100</v>
      </c>
      <c r="J20" s="27">
        <v>100</v>
      </c>
      <c r="K20" s="27">
        <v>100</v>
      </c>
      <c r="L20" s="27">
        <v>85.71</v>
      </c>
      <c r="M20" s="27">
        <v>100</v>
      </c>
      <c r="N20" s="27">
        <v>100</v>
      </c>
      <c r="O20" s="27">
        <v>100</v>
      </c>
      <c r="P20" s="27">
        <v>100</v>
      </c>
      <c r="Q20" s="27">
        <v>95</v>
      </c>
      <c r="R20" s="27">
        <v>100</v>
      </c>
      <c r="S20" s="24">
        <v>87.5</v>
      </c>
      <c r="T20" s="33"/>
      <c r="U20" s="33"/>
      <c r="V20" s="33"/>
      <c r="W20" s="33"/>
      <c r="X20" s="34"/>
      <c r="Y20" s="30">
        <f t="shared" si="0"/>
        <v>98.75</v>
      </c>
      <c r="Z20" s="30">
        <f t="shared" si="1"/>
        <v>92.516666666666666</v>
      </c>
      <c r="AA20" s="30">
        <f t="shared" si="2"/>
        <v>92.516666666666666</v>
      </c>
      <c r="AB20" s="30">
        <f t="shared" si="3"/>
        <v>95.009999999999991</v>
      </c>
    </row>
    <row r="21" spans="2:28" ht="15.75" x14ac:dyDescent="0.25">
      <c r="B21" s="32">
        <v>39677548</v>
      </c>
      <c r="C21" s="24">
        <v>100</v>
      </c>
      <c r="D21" s="25">
        <v>100</v>
      </c>
      <c r="E21" s="27">
        <v>100</v>
      </c>
      <c r="F21" s="27">
        <v>100</v>
      </c>
      <c r="G21" s="24">
        <v>100</v>
      </c>
      <c r="H21" s="27">
        <v>100</v>
      </c>
      <c r="I21" s="27">
        <v>100</v>
      </c>
      <c r="J21" s="27">
        <v>100</v>
      </c>
      <c r="K21" s="27">
        <v>100</v>
      </c>
      <c r="L21" s="27">
        <v>100</v>
      </c>
      <c r="M21" s="27">
        <v>100</v>
      </c>
      <c r="N21" s="27">
        <v>100</v>
      </c>
      <c r="O21" s="27">
        <v>100</v>
      </c>
      <c r="P21" s="27">
        <v>100</v>
      </c>
      <c r="Q21" s="27">
        <v>100</v>
      </c>
      <c r="R21" s="27">
        <v>57.14</v>
      </c>
      <c r="S21" s="24">
        <v>100</v>
      </c>
      <c r="T21" s="33"/>
      <c r="U21" s="33"/>
      <c r="V21" s="33"/>
      <c r="W21" s="33"/>
      <c r="X21" s="34"/>
      <c r="Y21" s="30">
        <f t="shared" si="0"/>
        <v>100</v>
      </c>
      <c r="Z21" s="30">
        <f t="shared" si="1"/>
        <v>85.713333333333324</v>
      </c>
      <c r="AA21" s="30">
        <f t="shared" si="2"/>
        <v>85.713333333333324</v>
      </c>
      <c r="AB21" s="30">
        <f t="shared" si="3"/>
        <v>91.427999999999997</v>
      </c>
    </row>
    <row r="22" spans="2:28" ht="15.75" x14ac:dyDescent="0.25">
      <c r="B22" s="32">
        <v>1013692526</v>
      </c>
      <c r="C22" s="24">
        <v>100</v>
      </c>
      <c r="D22" s="25">
        <v>100</v>
      </c>
      <c r="E22" s="27">
        <v>100</v>
      </c>
      <c r="F22" s="27">
        <v>91.84</v>
      </c>
      <c r="G22" s="24">
        <v>100</v>
      </c>
      <c r="H22" s="27">
        <v>100</v>
      </c>
      <c r="I22" s="27">
        <v>100</v>
      </c>
      <c r="J22" s="27">
        <v>100</v>
      </c>
      <c r="K22" s="27">
        <v>100</v>
      </c>
      <c r="L22" s="27">
        <v>85.71</v>
      </c>
      <c r="M22" s="27">
        <v>100</v>
      </c>
      <c r="N22" s="27">
        <v>100</v>
      </c>
      <c r="O22" s="27">
        <v>100</v>
      </c>
      <c r="P22" s="27">
        <v>100</v>
      </c>
      <c r="Q22" s="27" t="s">
        <v>22</v>
      </c>
      <c r="R22" s="27">
        <v>100</v>
      </c>
      <c r="S22" s="24">
        <v>100</v>
      </c>
      <c r="T22" s="33"/>
      <c r="U22" s="33"/>
      <c r="V22" s="33"/>
      <c r="W22" s="33"/>
      <c r="X22" s="34"/>
      <c r="Y22" s="30">
        <f t="shared" si="0"/>
        <v>100</v>
      </c>
      <c r="Z22" s="30">
        <f t="shared" si="1"/>
        <v>92.516666666666666</v>
      </c>
      <c r="AA22" s="30">
        <f t="shared" si="2"/>
        <v>92.516666666666666</v>
      </c>
      <c r="AB22" s="30">
        <f t="shared" si="3"/>
        <v>95.509999999999991</v>
      </c>
    </row>
    <row r="23" spans="2:28" ht="15.75" x14ac:dyDescent="0.25">
      <c r="B23" s="32">
        <v>43567145</v>
      </c>
      <c r="C23" s="35" t="s">
        <v>22</v>
      </c>
      <c r="D23" s="25">
        <v>100</v>
      </c>
      <c r="E23" s="27">
        <v>75</v>
      </c>
      <c r="F23" s="27">
        <v>97.96</v>
      </c>
      <c r="G23" s="24">
        <v>100</v>
      </c>
      <c r="H23" s="27">
        <v>66.67</v>
      </c>
      <c r="I23" s="27">
        <v>100</v>
      </c>
      <c r="J23" s="27">
        <v>97.22</v>
      </c>
      <c r="K23" s="27">
        <v>100</v>
      </c>
      <c r="L23" s="27">
        <v>100</v>
      </c>
      <c r="M23" s="27">
        <v>100</v>
      </c>
      <c r="N23" s="27">
        <v>100</v>
      </c>
      <c r="O23" s="27">
        <v>100</v>
      </c>
      <c r="P23" s="27">
        <v>100</v>
      </c>
      <c r="Q23" s="27">
        <v>97.5</v>
      </c>
      <c r="R23" s="27">
        <v>100</v>
      </c>
      <c r="S23" s="24">
        <v>100</v>
      </c>
      <c r="T23" s="33"/>
      <c r="U23" s="33"/>
      <c r="V23" s="33"/>
      <c r="W23" s="33"/>
      <c r="X23" s="34"/>
      <c r="Y23" s="30">
        <f t="shared" si="0"/>
        <v>95.106923076923067</v>
      </c>
      <c r="Z23" s="30">
        <f t="shared" si="1"/>
        <v>99.32</v>
      </c>
      <c r="AA23" s="30">
        <f t="shared" si="2"/>
        <v>99.32</v>
      </c>
      <c r="AB23" s="30">
        <f t="shared" si="3"/>
        <v>97.634769230769223</v>
      </c>
    </row>
    <row r="24" spans="2:28" ht="15.75" x14ac:dyDescent="0.25">
      <c r="B24" s="32">
        <v>1130590262</v>
      </c>
      <c r="C24" s="24">
        <v>100</v>
      </c>
      <c r="D24" s="25">
        <v>100</v>
      </c>
      <c r="E24" s="27">
        <v>100</v>
      </c>
      <c r="F24" s="27">
        <v>100</v>
      </c>
      <c r="G24" s="24">
        <v>100</v>
      </c>
      <c r="H24" s="27">
        <v>100</v>
      </c>
      <c r="I24" s="27">
        <v>100</v>
      </c>
      <c r="J24" s="27">
        <v>100</v>
      </c>
      <c r="K24" s="27">
        <v>100</v>
      </c>
      <c r="L24" s="27">
        <v>100</v>
      </c>
      <c r="M24" s="27">
        <v>100</v>
      </c>
      <c r="N24" s="27">
        <v>83.33</v>
      </c>
      <c r="O24" s="27">
        <v>100</v>
      </c>
      <c r="P24" s="27">
        <v>100</v>
      </c>
      <c r="Q24" s="27">
        <v>100</v>
      </c>
      <c r="R24" s="27">
        <v>100</v>
      </c>
      <c r="S24" s="24">
        <v>100</v>
      </c>
      <c r="T24" s="33"/>
      <c r="U24" s="33"/>
      <c r="V24" s="33"/>
      <c r="W24" s="33"/>
      <c r="X24" s="34"/>
      <c r="Y24" s="30">
        <f t="shared" si="0"/>
        <v>98.809285714285707</v>
      </c>
      <c r="Z24" s="30">
        <f t="shared" si="1"/>
        <v>100</v>
      </c>
      <c r="AA24" s="30">
        <f t="shared" si="2"/>
        <v>100</v>
      </c>
      <c r="AB24" s="30">
        <f t="shared" si="3"/>
        <v>99.523714285714277</v>
      </c>
    </row>
    <row r="25" spans="2:28" ht="15.75" x14ac:dyDescent="0.25">
      <c r="B25" s="32">
        <v>40610719</v>
      </c>
      <c r="C25" s="24">
        <v>100</v>
      </c>
      <c r="D25" s="25">
        <v>100</v>
      </c>
      <c r="E25" s="27">
        <v>100</v>
      </c>
      <c r="F25" s="27">
        <v>100</v>
      </c>
      <c r="G25" s="24" t="s">
        <v>22</v>
      </c>
      <c r="H25" s="27">
        <v>100</v>
      </c>
      <c r="I25" s="27">
        <v>100</v>
      </c>
      <c r="J25" s="27">
        <v>100</v>
      </c>
      <c r="K25" s="27">
        <v>100</v>
      </c>
      <c r="L25" s="27">
        <v>92.86</v>
      </c>
      <c r="M25" s="27">
        <v>100</v>
      </c>
      <c r="N25" s="27">
        <v>100</v>
      </c>
      <c r="O25" s="27">
        <v>100</v>
      </c>
      <c r="P25" s="27">
        <v>100</v>
      </c>
      <c r="Q25" s="27">
        <v>100</v>
      </c>
      <c r="R25" s="27">
        <v>100</v>
      </c>
      <c r="S25" s="24">
        <v>100</v>
      </c>
      <c r="T25" s="33"/>
      <c r="U25" s="33"/>
      <c r="V25" s="33"/>
      <c r="W25" s="33"/>
      <c r="X25" s="34"/>
      <c r="Y25" s="30">
        <f t="shared" si="0"/>
        <v>100</v>
      </c>
      <c r="Z25" s="30">
        <f t="shared" si="1"/>
        <v>97.62</v>
      </c>
      <c r="AA25" s="30">
        <f t="shared" si="2"/>
        <v>97.62</v>
      </c>
      <c r="AB25" s="30">
        <f t="shared" si="3"/>
        <v>98.572000000000003</v>
      </c>
    </row>
    <row r="26" spans="2:28" ht="15.75" x14ac:dyDescent="0.25">
      <c r="B26" s="32">
        <v>1017126808</v>
      </c>
      <c r="C26" s="24">
        <v>100</v>
      </c>
      <c r="D26" s="25">
        <v>100</v>
      </c>
      <c r="E26" s="27">
        <v>100</v>
      </c>
      <c r="F26" s="27">
        <v>97.96</v>
      </c>
      <c r="G26" s="24">
        <v>100</v>
      </c>
      <c r="H26" s="27">
        <v>66.67</v>
      </c>
      <c r="I26" s="27">
        <v>100</v>
      </c>
      <c r="J26" s="27">
        <v>100</v>
      </c>
      <c r="K26" s="27">
        <v>100</v>
      </c>
      <c r="L26" s="27">
        <v>100</v>
      </c>
      <c r="M26" s="27">
        <v>100</v>
      </c>
      <c r="N26" s="27">
        <v>100</v>
      </c>
      <c r="O26" s="27">
        <v>100</v>
      </c>
      <c r="P26" s="27">
        <v>100</v>
      </c>
      <c r="Q26" s="27">
        <v>97.5</v>
      </c>
      <c r="R26" s="27">
        <v>100</v>
      </c>
      <c r="S26" s="24">
        <v>100</v>
      </c>
      <c r="T26" s="33"/>
      <c r="U26" s="33"/>
      <c r="V26" s="33"/>
      <c r="W26" s="33"/>
      <c r="X26" s="34"/>
      <c r="Y26" s="30">
        <f t="shared" si="0"/>
        <v>97.440714285714293</v>
      </c>
      <c r="Z26" s="30">
        <f t="shared" si="1"/>
        <v>99.32</v>
      </c>
      <c r="AA26" s="30">
        <f t="shared" si="2"/>
        <v>99.32</v>
      </c>
      <c r="AB26" s="30">
        <f t="shared" si="3"/>
        <v>98.568285714285707</v>
      </c>
    </row>
    <row r="27" spans="2:28" ht="15.75" x14ac:dyDescent="0.25">
      <c r="B27" s="32">
        <v>1152452763</v>
      </c>
      <c r="C27" s="24">
        <v>100</v>
      </c>
      <c r="D27" s="25">
        <v>100</v>
      </c>
      <c r="E27" s="27">
        <v>100</v>
      </c>
      <c r="F27" s="27">
        <v>95.92</v>
      </c>
      <c r="G27" s="24">
        <v>100</v>
      </c>
      <c r="H27" s="27">
        <v>100</v>
      </c>
      <c r="I27" s="27">
        <v>100</v>
      </c>
      <c r="J27" s="27">
        <v>100</v>
      </c>
      <c r="K27" s="27">
        <v>100</v>
      </c>
      <c r="L27" s="27">
        <v>96.43</v>
      </c>
      <c r="M27" s="27">
        <v>100</v>
      </c>
      <c r="N27" s="27">
        <v>100</v>
      </c>
      <c r="O27" s="27">
        <v>100</v>
      </c>
      <c r="P27" s="27">
        <v>100</v>
      </c>
      <c r="Q27" s="27">
        <v>100</v>
      </c>
      <c r="R27" s="27">
        <v>100</v>
      </c>
      <c r="S27" s="24">
        <v>100</v>
      </c>
      <c r="T27" s="33"/>
      <c r="U27" s="33"/>
      <c r="V27" s="33"/>
      <c r="W27" s="33"/>
      <c r="X27" s="34"/>
      <c r="Y27" s="30">
        <f t="shared" si="0"/>
        <v>100</v>
      </c>
      <c r="Z27" s="30">
        <f t="shared" si="1"/>
        <v>97.45</v>
      </c>
      <c r="AA27" s="30">
        <f t="shared" si="2"/>
        <v>97.45</v>
      </c>
      <c r="AB27" s="30">
        <f t="shared" si="3"/>
        <v>98.47</v>
      </c>
    </row>
    <row r="28" spans="2:28" ht="15.75" x14ac:dyDescent="0.25">
      <c r="B28" s="32">
        <v>1012440522</v>
      </c>
      <c r="C28" s="24">
        <v>100</v>
      </c>
      <c r="D28" s="25">
        <v>100</v>
      </c>
      <c r="E28" s="27">
        <v>100</v>
      </c>
      <c r="F28" s="27">
        <v>85.71</v>
      </c>
      <c r="G28" s="24">
        <v>100</v>
      </c>
      <c r="H28" s="27">
        <v>100</v>
      </c>
      <c r="I28" s="27">
        <v>100</v>
      </c>
      <c r="J28" s="27">
        <v>100</v>
      </c>
      <c r="K28" s="27">
        <v>97.5</v>
      </c>
      <c r="L28" s="27">
        <v>100</v>
      </c>
      <c r="M28" s="27">
        <v>100</v>
      </c>
      <c r="N28" s="27">
        <v>100</v>
      </c>
      <c r="O28" s="27">
        <v>100</v>
      </c>
      <c r="P28" s="27">
        <v>100</v>
      </c>
      <c r="Q28" s="27">
        <v>100</v>
      </c>
      <c r="R28" s="27">
        <v>100</v>
      </c>
      <c r="S28" s="24">
        <v>100</v>
      </c>
      <c r="T28" s="33"/>
      <c r="U28" s="33"/>
      <c r="V28" s="33"/>
      <c r="W28" s="33"/>
      <c r="X28" s="34"/>
      <c r="Y28" s="30">
        <f t="shared" si="0"/>
        <v>99.821428571428569</v>
      </c>
      <c r="Z28" s="30">
        <f t="shared" si="1"/>
        <v>95.236666666666665</v>
      </c>
      <c r="AA28" s="30">
        <f t="shared" si="2"/>
        <v>95.236666666666665</v>
      </c>
      <c r="AB28" s="30">
        <f t="shared" si="3"/>
        <v>97.070571428571427</v>
      </c>
    </row>
    <row r="29" spans="2:28" ht="15.75" x14ac:dyDescent="0.25">
      <c r="B29" s="32">
        <v>1001328960</v>
      </c>
      <c r="C29" s="24">
        <v>100</v>
      </c>
      <c r="D29" s="25">
        <v>100</v>
      </c>
      <c r="E29" s="27">
        <v>100</v>
      </c>
      <c r="F29" s="27">
        <v>81.63</v>
      </c>
      <c r="G29" s="24">
        <v>100</v>
      </c>
      <c r="H29" s="27">
        <v>100</v>
      </c>
      <c r="I29" s="27">
        <v>100</v>
      </c>
      <c r="J29" s="27">
        <v>100</v>
      </c>
      <c r="K29" s="27">
        <v>100</v>
      </c>
      <c r="L29" s="27">
        <v>100</v>
      </c>
      <c r="M29" s="27">
        <v>100</v>
      </c>
      <c r="N29" s="27">
        <v>100</v>
      </c>
      <c r="O29" s="27" t="s">
        <v>21</v>
      </c>
      <c r="P29" s="27" t="s">
        <v>21</v>
      </c>
      <c r="Q29" s="27" t="s">
        <v>21</v>
      </c>
      <c r="R29" s="27" t="s">
        <v>21</v>
      </c>
      <c r="S29" s="24">
        <v>100</v>
      </c>
      <c r="T29" s="33"/>
      <c r="U29" s="33"/>
      <c r="V29" s="33"/>
      <c r="W29" s="33"/>
      <c r="X29" s="34"/>
      <c r="Y29" s="30">
        <f t="shared" si="0"/>
        <v>100</v>
      </c>
      <c r="Z29" s="30">
        <f t="shared" si="1"/>
        <v>90.814999999999998</v>
      </c>
      <c r="AA29" s="30">
        <f t="shared" si="2"/>
        <v>90.814999999999998</v>
      </c>
      <c r="AB29" s="30">
        <f t="shared" si="3"/>
        <v>94.489000000000004</v>
      </c>
    </row>
    <row r="30" spans="2:28" ht="15.75" x14ac:dyDescent="0.25">
      <c r="B30" s="32">
        <v>1000252417</v>
      </c>
      <c r="C30" s="35" t="s">
        <v>26</v>
      </c>
      <c r="D30" s="25" t="s">
        <v>22</v>
      </c>
      <c r="E30" s="27">
        <v>100</v>
      </c>
      <c r="F30" s="27">
        <v>100</v>
      </c>
      <c r="G30" s="24">
        <v>100</v>
      </c>
      <c r="H30" s="27">
        <v>100</v>
      </c>
      <c r="I30" s="27">
        <v>100</v>
      </c>
      <c r="J30" s="27">
        <v>100</v>
      </c>
      <c r="K30" s="27">
        <v>100</v>
      </c>
      <c r="L30" s="27">
        <v>100</v>
      </c>
      <c r="M30" s="27">
        <v>100</v>
      </c>
      <c r="N30" s="27">
        <v>100</v>
      </c>
      <c r="O30" s="27">
        <v>100</v>
      </c>
      <c r="P30" s="27">
        <v>44.44</v>
      </c>
      <c r="Q30" s="27">
        <v>100</v>
      </c>
      <c r="R30" s="27">
        <v>100</v>
      </c>
      <c r="S30" s="24">
        <v>100</v>
      </c>
      <c r="T30" s="33"/>
      <c r="U30" s="33"/>
      <c r="V30" s="33"/>
      <c r="W30" s="33"/>
      <c r="X30" s="34"/>
      <c r="Y30" s="30">
        <f t="shared" si="0"/>
        <v>95.37</v>
      </c>
      <c r="Z30" s="30">
        <f t="shared" si="1"/>
        <v>100</v>
      </c>
      <c r="AA30" s="30">
        <f t="shared" si="2"/>
        <v>100</v>
      </c>
      <c r="AB30" s="30">
        <f t="shared" si="3"/>
        <v>98.147999999999996</v>
      </c>
    </row>
    <row r="31" spans="2:28" ht="15.75" x14ac:dyDescent="0.25">
      <c r="B31" s="32">
        <v>1004846295</v>
      </c>
      <c r="C31" s="24">
        <v>100</v>
      </c>
      <c r="D31" s="25">
        <v>100</v>
      </c>
      <c r="E31" s="27">
        <v>100</v>
      </c>
      <c r="F31" s="27">
        <v>63.27</v>
      </c>
      <c r="G31" s="24">
        <v>100</v>
      </c>
      <c r="H31" s="27">
        <v>100</v>
      </c>
      <c r="I31" s="27">
        <v>100</v>
      </c>
      <c r="J31" s="27">
        <v>100</v>
      </c>
      <c r="K31" s="27">
        <v>100</v>
      </c>
      <c r="L31" s="27">
        <v>81.430000000000007</v>
      </c>
      <c r="M31" s="27">
        <v>100</v>
      </c>
      <c r="N31" s="27">
        <v>100</v>
      </c>
      <c r="O31" s="27">
        <v>100</v>
      </c>
      <c r="P31" s="27">
        <v>100</v>
      </c>
      <c r="Q31" s="27" t="s">
        <v>26</v>
      </c>
      <c r="R31" s="27">
        <v>85.71</v>
      </c>
      <c r="S31" s="24">
        <v>87.5</v>
      </c>
      <c r="T31" s="33"/>
      <c r="U31" s="33"/>
      <c r="V31" s="33"/>
      <c r="W31" s="33"/>
      <c r="X31" s="34"/>
      <c r="Y31" s="30">
        <f t="shared" si="0"/>
        <v>99.038461538461533</v>
      </c>
      <c r="Z31" s="30">
        <f t="shared" si="1"/>
        <v>76.803333333333342</v>
      </c>
      <c r="AA31" s="30">
        <f t="shared" si="2"/>
        <v>76.803333333333342</v>
      </c>
      <c r="AB31" s="30">
        <f t="shared" si="3"/>
        <v>85.697384615384607</v>
      </c>
    </row>
    <row r="32" spans="2:28" ht="15.75" x14ac:dyDescent="0.25">
      <c r="B32" s="32">
        <v>11189869</v>
      </c>
      <c r="C32" s="24">
        <v>77.78</v>
      </c>
      <c r="D32" s="25">
        <v>100</v>
      </c>
      <c r="E32" s="27">
        <v>100</v>
      </c>
      <c r="F32" s="27">
        <v>94.49</v>
      </c>
      <c r="G32" s="24">
        <v>100</v>
      </c>
      <c r="H32" s="27">
        <v>100</v>
      </c>
      <c r="I32" s="27">
        <v>100</v>
      </c>
      <c r="J32" s="27" t="s">
        <v>21</v>
      </c>
      <c r="K32" s="27" t="s">
        <v>21</v>
      </c>
      <c r="L32" s="27" t="s">
        <v>21</v>
      </c>
      <c r="M32" s="27" t="s">
        <v>21</v>
      </c>
      <c r="N32" s="27" t="s">
        <v>21</v>
      </c>
      <c r="O32" s="27" t="s">
        <v>21</v>
      </c>
      <c r="P32" s="27" t="s">
        <v>21</v>
      </c>
      <c r="Q32" s="27" t="s">
        <v>21</v>
      </c>
      <c r="R32" s="27" t="s">
        <v>21</v>
      </c>
      <c r="S32" s="24" t="s">
        <v>21</v>
      </c>
      <c r="T32" s="33"/>
      <c r="U32" s="33"/>
      <c r="V32" s="33"/>
      <c r="W32" s="33"/>
      <c r="X32" s="34"/>
      <c r="Y32" s="30">
        <f t="shared" si="0"/>
        <v>96.296666666666667</v>
      </c>
      <c r="Z32" s="30">
        <f t="shared" si="1"/>
        <v>94.49</v>
      </c>
      <c r="AA32" s="30">
        <f t="shared" si="2"/>
        <v>94.49</v>
      </c>
      <c r="AB32" s="30">
        <f t="shared" si="3"/>
        <v>95.212666666666664</v>
      </c>
    </row>
    <row r="33" spans="2:28" ht="15.75" x14ac:dyDescent="0.25">
      <c r="B33" s="36">
        <v>1014298970</v>
      </c>
      <c r="C33" s="24">
        <v>66.67</v>
      </c>
      <c r="D33" s="25">
        <v>100</v>
      </c>
      <c r="E33" s="27" t="s">
        <v>22</v>
      </c>
      <c r="F33" s="27" t="s">
        <v>22</v>
      </c>
      <c r="G33" s="24">
        <v>100</v>
      </c>
      <c r="H33" s="27">
        <v>100</v>
      </c>
      <c r="I33" s="27">
        <v>100</v>
      </c>
      <c r="J33" s="27">
        <v>100</v>
      </c>
      <c r="K33" s="27">
        <v>100</v>
      </c>
      <c r="L33" s="27">
        <v>85.71</v>
      </c>
      <c r="M33" s="27">
        <v>100</v>
      </c>
      <c r="N33" s="27">
        <v>100</v>
      </c>
      <c r="O33" s="27">
        <v>100</v>
      </c>
      <c r="P33" s="27">
        <v>100</v>
      </c>
      <c r="Q33" s="27">
        <v>100</v>
      </c>
      <c r="R33" s="27">
        <v>71.430000000000007</v>
      </c>
      <c r="S33" s="24">
        <v>100</v>
      </c>
      <c r="T33" s="33"/>
      <c r="U33" s="33"/>
      <c r="V33" s="33"/>
      <c r="W33" s="33"/>
      <c r="X33" s="34"/>
      <c r="Y33" s="30">
        <f t="shared" si="0"/>
        <v>97.436153846153857</v>
      </c>
      <c r="Z33" s="30">
        <f t="shared" si="1"/>
        <v>78.569999999999993</v>
      </c>
      <c r="AA33" s="30">
        <f t="shared" si="2"/>
        <v>78.569999999999993</v>
      </c>
      <c r="AB33" s="30">
        <f t="shared" si="3"/>
        <v>86.11646153846155</v>
      </c>
    </row>
    <row r="34" spans="2:28" ht="15.75" x14ac:dyDescent="0.25">
      <c r="B34" s="32">
        <v>1035862367</v>
      </c>
      <c r="C34" s="24">
        <v>100</v>
      </c>
      <c r="D34" s="25">
        <v>100</v>
      </c>
      <c r="E34" s="27">
        <v>100</v>
      </c>
      <c r="F34" s="27">
        <v>89.8</v>
      </c>
      <c r="G34" s="24">
        <v>100</v>
      </c>
      <c r="H34" s="27">
        <v>100</v>
      </c>
      <c r="I34" s="27">
        <v>100</v>
      </c>
      <c r="J34" s="27" t="s">
        <v>23</v>
      </c>
      <c r="K34" s="27">
        <v>100</v>
      </c>
      <c r="L34" s="27">
        <v>100</v>
      </c>
      <c r="M34" s="27">
        <v>100</v>
      </c>
      <c r="N34" s="27">
        <v>100</v>
      </c>
      <c r="O34" s="27">
        <v>100</v>
      </c>
      <c r="P34" s="27">
        <v>100</v>
      </c>
      <c r="Q34" s="27">
        <v>100</v>
      </c>
      <c r="R34" s="27">
        <v>100</v>
      </c>
      <c r="S34" s="24">
        <v>100</v>
      </c>
      <c r="T34" s="33"/>
      <c r="U34" s="33"/>
      <c r="V34" s="33"/>
      <c r="W34" s="33"/>
      <c r="X34" s="34"/>
      <c r="Y34" s="30">
        <f t="shared" si="0"/>
        <v>100</v>
      </c>
      <c r="Z34" s="30">
        <f t="shared" si="1"/>
        <v>96.600000000000009</v>
      </c>
      <c r="AA34" s="30">
        <f t="shared" si="2"/>
        <v>96.600000000000009</v>
      </c>
      <c r="AB34" s="30">
        <f t="shared" si="3"/>
        <v>97.960000000000008</v>
      </c>
    </row>
    <row r="35" spans="2:28" ht="15.75" x14ac:dyDescent="0.25">
      <c r="B35" s="32">
        <v>1015422983</v>
      </c>
      <c r="C35" s="24">
        <v>100</v>
      </c>
      <c r="D35" s="25">
        <v>66.67</v>
      </c>
      <c r="E35" s="27">
        <v>75</v>
      </c>
      <c r="F35" s="27">
        <v>77.55</v>
      </c>
      <c r="G35" s="24">
        <v>100</v>
      </c>
      <c r="H35" s="27">
        <v>100</v>
      </c>
      <c r="I35" s="27">
        <v>100</v>
      </c>
      <c r="J35" s="27" t="s">
        <v>21</v>
      </c>
      <c r="K35" s="27" t="s">
        <v>21</v>
      </c>
      <c r="L35" s="27" t="s">
        <v>21</v>
      </c>
      <c r="M35" s="27" t="s">
        <v>21</v>
      </c>
      <c r="N35" s="27" t="s">
        <v>21</v>
      </c>
      <c r="O35" s="27" t="s">
        <v>21</v>
      </c>
      <c r="P35" s="27" t="s">
        <v>21</v>
      </c>
      <c r="Q35" s="27" t="s">
        <v>21</v>
      </c>
      <c r="R35" s="27" t="s">
        <v>21</v>
      </c>
      <c r="S35" s="24" t="s">
        <v>21</v>
      </c>
      <c r="T35" s="33"/>
      <c r="U35" s="33"/>
      <c r="V35" s="33"/>
      <c r="W35" s="33"/>
      <c r="X35" s="34"/>
      <c r="Y35" s="30">
        <f t="shared" si="0"/>
        <v>90.27833333333335</v>
      </c>
      <c r="Z35" s="30">
        <f t="shared" si="1"/>
        <v>77.55</v>
      </c>
      <c r="AA35" s="30">
        <f t="shared" si="2"/>
        <v>77.55</v>
      </c>
      <c r="AB35" s="30">
        <f t="shared" si="3"/>
        <v>82.641333333333336</v>
      </c>
    </row>
    <row r="36" spans="2:28" ht="15.75" x14ac:dyDescent="0.25">
      <c r="B36" s="32">
        <v>1037634420</v>
      </c>
      <c r="C36" s="24">
        <v>100</v>
      </c>
      <c r="D36" s="25">
        <v>100</v>
      </c>
      <c r="E36" s="27">
        <v>100</v>
      </c>
      <c r="F36" s="27">
        <v>100</v>
      </c>
      <c r="G36" s="24">
        <v>100</v>
      </c>
      <c r="H36" s="27">
        <v>100</v>
      </c>
      <c r="I36" s="27">
        <v>100</v>
      </c>
      <c r="J36" s="27">
        <v>100</v>
      </c>
      <c r="K36" s="27">
        <v>100</v>
      </c>
      <c r="L36" s="27">
        <v>96.43</v>
      </c>
      <c r="M36" s="27">
        <v>100</v>
      </c>
      <c r="N36" s="27">
        <v>100</v>
      </c>
      <c r="O36" s="27">
        <v>100</v>
      </c>
      <c r="P36" s="27">
        <v>100</v>
      </c>
      <c r="Q36" s="27">
        <v>100</v>
      </c>
      <c r="R36" s="27">
        <v>100</v>
      </c>
      <c r="S36" s="24">
        <v>100</v>
      </c>
      <c r="T36" s="33"/>
      <c r="U36" s="33"/>
      <c r="V36" s="33"/>
      <c r="W36" s="33"/>
      <c r="X36" s="34"/>
      <c r="Y36" s="30">
        <f t="shared" si="0"/>
        <v>100</v>
      </c>
      <c r="Z36" s="30">
        <f t="shared" si="1"/>
        <v>98.81</v>
      </c>
      <c r="AA36" s="30">
        <f t="shared" si="2"/>
        <v>98.81</v>
      </c>
      <c r="AB36" s="30">
        <f t="shared" si="3"/>
        <v>99.286000000000001</v>
      </c>
    </row>
    <row r="37" spans="2:28" ht="15.75" x14ac:dyDescent="0.25">
      <c r="B37" s="32">
        <v>1014234343</v>
      </c>
      <c r="C37" s="35" t="s">
        <v>22</v>
      </c>
      <c r="D37" s="25">
        <v>66.67</v>
      </c>
      <c r="E37" s="27">
        <v>100</v>
      </c>
      <c r="F37" s="27">
        <v>100</v>
      </c>
      <c r="G37" s="24">
        <v>100</v>
      </c>
      <c r="H37" s="27">
        <v>100</v>
      </c>
      <c r="I37" s="27">
        <v>100</v>
      </c>
      <c r="J37" s="27">
        <v>100</v>
      </c>
      <c r="K37" s="27">
        <v>100</v>
      </c>
      <c r="L37" s="27">
        <v>100</v>
      </c>
      <c r="M37" s="27">
        <v>100</v>
      </c>
      <c r="N37" s="27">
        <v>100</v>
      </c>
      <c r="O37" s="27">
        <v>66.67</v>
      </c>
      <c r="P37" s="27">
        <v>100</v>
      </c>
      <c r="Q37" s="27">
        <v>97.5</v>
      </c>
      <c r="R37" s="27">
        <v>100</v>
      </c>
      <c r="S37" s="24">
        <v>100</v>
      </c>
      <c r="T37" s="33"/>
      <c r="U37" s="33"/>
      <c r="V37" s="33"/>
      <c r="W37" s="33"/>
      <c r="X37" s="34"/>
      <c r="Y37" s="30">
        <f t="shared" si="0"/>
        <v>94.68</v>
      </c>
      <c r="Z37" s="30">
        <f t="shared" si="1"/>
        <v>100</v>
      </c>
      <c r="AA37" s="30">
        <f t="shared" si="2"/>
        <v>100</v>
      </c>
      <c r="AB37" s="30">
        <f t="shared" si="3"/>
        <v>97.872000000000014</v>
      </c>
    </row>
    <row r="38" spans="2:28" ht="15.75" x14ac:dyDescent="0.25">
      <c r="B38" s="32">
        <v>1022400421</v>
      </c>
      <c r="C38" s="24">
        <v>100</v>
      </c>
      <c r="D38" s="25">
        <v>66.67</v>
      </c>
      <c r="E38" s="27">
        <v>100</v>
      </c>
      <c r="F38" s="27">
        <v>100</v>
      </c>
      <c r="G38" s="24">
        <v>100</v>
      </c>
      <c r="H38" s="27">
        <v>100</v>
      </c>
      <c r="I38" s="27">
        <v>100</v>
      </c>
      <c r="J38" s="27" t="s">
        <v>21</v>
      </c>
      <c r="K38" s="27" t="s">
        <v>21</v>
      </c>
      <c r="L38" s="27" t="s">
        <v>21</v>
      </c>
      <c r="M38" s="27" t="s">
        <v>21</v>
      </c>
      <c r="N38" s="27" t="s">
        <v>21</v>
      </c>
      <c r="O38" s="27" t="s">
        <v>21</v>
      </c>
      <c r="P38" s="27" t="s">
        <v>21</v>
      </c>
      <c r="Q38" s="27" t="s">
        <v>21</v>
      </c>
      <c r="R38" s="27" t="s">
        <v>21</v>
      </c>
      <c r="S38" s="24" t="s">
        <v>21</v>
      </c>
      <c r="T38" s="33"/>
      <c r="U38" s="33"/>
      <c r="V38" s="33"/>
      <c r="W38" s="33"/>
      <c r="X38" s="34"/>
      <c r="Y38" s="30">
        <f t="shared" si="0"/>
        <v>94.445000000000007</v>
      </c>
      <c r="Z38" s="30">
        <f t="shared" si="1"/>
        <v>100</v>
      </c>
      <c r="AA38" s="30">
        <f t="shared" si="2"/>
        <v>100</v>
      </c>
      <c r="AB38" s="30">
        <f t="shared" si="3"/>
        <v>97.778000000000006</v>
      </c>
    </row>
    <row r="39" spans="2:28" ht="15.75" x14ac:dyDescent="0.25">
      <c r="B39" s="32">
        <v>1020812160</v>
      </c>
      <c r="C39" s="24">
        <v>100</v>
      </c>
      <c r="D39" s="25">
        <v>100</v>
      </c>
      <c r="E39" s="27">
        <v>100</v>
      </c>
      <c r="F39" s="27">
        <v>100</v>
      </c>
      <c r="G39" s="24">
        <v>100</v>
      </c>
      <c r="H39" s="27">
        <v>100</v>
      </c>
      <c r="I39" s="27">
        <v>39.39</v>
      </c>
      <c r="J39" s="27" t="s">
        <v>21</v>
      </c>
      <c r="K39" s="27" t="s">
        <v>21</v>
      </c>
      <c r="L39" s="27" t="s">
        <v>21</v>
      </c>
      <c r="M39" s="27" t="s">
        <v>21</v>
      </c>
      <c r="N39" s="27" t="s">
        <v>21</v>
      </c>
      <c r="O39" s="27" t="s">
        <v>21</v>
      </c>
      <c r="P39" s="27" t="s">
        <v>21</v>
      </c>
      <c r="Q39" s="27" t="s">
        <v>21</v>
      </c>
      <c r="R39" s="27" t="s">
        <v>21</v>
      </c>
      <c r="S39" s="24" t="s">
        <v>21</v>
      </c>
      <c r="T39" s="33"/>
      <c r="U39" s="33"/>
      <c r="V39" s="33"/>
      <c r="W39" s="33"/>
      <c r="X39" s="34"/>
      <c r="Y39" s="30">
        <f t="shared" si="0"/>
        <v>89.898333333333326</v>
      </c>
      <c r="Z39" s="30">
        <f t="shared" si="1"/>
        <v>100</v>
      </c>
      <c r="AA39" s="30">
        <f t="shared" si="2"/>
        <v>100</v>
      </c>
      <c r="AB39" s="30">
        <f t="shared" si="3"/>
        <v>95.959333333333333</v>
      </c>
    </row>
    <row r="40" spans="2:28" ht="15.75" x14ac:dyDescent="0.25">
      <c r="B40" s="32">
        <v>1020739610</v>
      </c>
      <c r="C40" s="24">
        <v>100</v>
      </c>
      <c r="D40" s="25">
        <v>66.67</v>
      </c>
      <c r="E40" s="27" t="s">
        <v>22</v>
      </c>
      <c r="F40" s="27" t="s">
        <v>22</v>
      </c>
      <c r="G40" s="24">
        <v>100</v>
      </c>
      <c r="H40" s="27">
        <v>100</v>
      </c>
      <c r="I40" s="27">
        <v>100</v>
      </c>
      <c r="J40" s="27" t="s">
        <v>21</v>
      </c>
      <c r="K40" s="27" t="s">
        <v>21</v>
      </c>
      <c r="L40" s="27" t="s">
        <v>21</v>
      </c>
      <c r="M40" s="27" t="s">
        <v>21</v>
      </c>
      <c r="N40" s="27" t="s">
        <v>21</v>
      </c>
      <c r="O40" s="27" t="s">
        <v>21</v>
      </c>
      <c r="P40" s="27" t="s">
        <v>21</v>
      </c>
      <c r="Q40" s="27" t="s">
        <v>21</v>
      </c>
      <c r="R40" s="27" t="s">
        <v>21</v>
      </c>
      <c r="S40" s="24" t="s">
        <v>21</v>
      </c>
      <c r="T40" s="33"/>
      <c r="U40" s="33"/>
      <c r="V40" s="33"/>
      <c r="W40" s="33"/>
      <c r="X40" s="34"/>
      <c r="Y40" s="30">
        <f t="shared" si="0"/>
        <v>93.334000000000003</v>
      </c>
      <c r="Z40" s="30" t="e">
        <f t="shared" si="1"/>
        <v>#DIV/0!</v>
      </c>
      <c r="AA40" s="30" t="e">
        <f t="shared" si="2"/>
        <v>#DIV/0!</v>
      </c>
      <c r="AB40" s="30" t="e">
        <f t="shared" si="3"/>
        <v>#DIV/0!</v>
      </c>
    </row>
    <row r="41" spans="2:28" ht="15.75" x14ac:dyDescent="0.25">
      <c r="B41" s="32">
        <v>1024544635</v>
      </c>
      <c r="C41" s="24">
        <v>100</v>
      </c>
      <c r="D41" s="25">
        <v>100</v>
      </c>
      <c r="E41" s="27">
        <v>100</v>
      </c>
      <c r="F41" s="27">
        <v>100</v>
      </c>
      <c r="G41" s="24">
        <v>100</v>
      </c>
      <c r="H41" s="27">
        <v>100</v>
      </c>
      <c r="I41" s="27">
        <v>100</v>
      </c>
      <c r="J41" s="27">
        <v>100</v>
      </c>
      <c r="K41" s="27" t="s">
        <v>22</v>
      </c>
      <c r="L41" s="27">
        <v>85.71</v>
      </c>
      <c r="M41" s="27">
        <v>100</v>
      </c>
      <c r="N41" s="27">
        <v>100</v>
      </c>
      <c r="O41" s="27">
        <v>100</v>
      </c>
      <c r="P41" s="27">
        <v>100</v>
      </c>
      <c r="Q41" s="27">
        <v>100</v>
      </c>
      <c r="R41" s="27">
        <v>100</v>
      </c>
      <c r="S41" s="24">
        <v>100</v>
      </c>
      <c r="T41" s="33"/>
      <c r="U41" s="33"/>
      <c r="V41" s="33"/>
      <c r="W41" s="33"/>
      <c r="X41" s="34"/>
      <c r="Y41" s="30">
        <f t="shared" si="0"/>
        <v>100</v>
      </c>
      <c r="Z41" s="30">
        <f t="shared" si="1"/>
        <v>95.236666666666665</v>
      </c>
      <c r="AA41" s="30">
        <f t="shared" si="2"/>
        <v>95.236666666666665</v>
      </c>
      <c r="AB41" s="30">
        <f t="shared" si="3"/>
        <v>97.141999999999996</v>
      </c>
    </row>
    <row r="42" spans="2:28" ht="15.75" x14ac:dyDescent="0.25">
      <c r="B42" s="32">
        <v>1000834030</v>
      </c>
      <c r="C42" s="24">
        <v>100</v>
      </c>
      <c r="D42" s="25">
        <v>100</v>
      </c>
      <c r="E42" s="27">
        <v>100</v>
      </c>
      <c r="F42" s="27">
        <v>59.8</v>
      </c>
      <c r="G42" s="24">
        <v>100</v>
      </c>
      <c r="H42" s="27">
        <v>100</v>
      </c>
      <c r="I42" s="27">
        <v>100</v>
      </c>
      <c r="J42" s="27">
        <v>91.67</v>
      </c>
      <c r="K42" s="27">
        <v>97.5</v>
      </c>
      <c r="L42" s="27">
        <v>70</v>
      </c>
      <c r="M42" s="27">
        <v>33.33</v>
      </c>
      <c r="N42" s="27" t="s">
        <v>25</v>
      </c>
      <c r="O42" s="27">
        <v>33.33</v>
      </c>
      <c r="P42" s="27">
        <v>100</v>
      </c>
      <c r="Q42" s="27">
        <v>97.5</v>
      </c>
      <c r="R42" s="27">
        <v>57.14</v>
      </c>
      <c r="S42" s="24">
        <v>100</v>
      </c>
      <c r="T42" s="33"/>
      <c r="U42" s="33"/>
      <c r="V42" s="33"/>
      <c r="W42" s="33"/>
      <c r="X42" s="34"/>
      <c r="Y42" s="30">
        <f t="shared" si="0"/>
        <v>88.717692307692303</v>
      </c>
      <c r="Z42" s="30">
        <f t="shared" si="1"/>
        <v>62.313333333333333</v>
      </c>
      <c r="AA42" s="30">
        <f t="shared" si="2"/>
        <v>62.313333333333333</v>
      </c>
      <c r="AB42" s="30">
        <f t="shared" si="3"/>
        <v>72.875076923076918</v>
      </c>
    </row>
    <row r="43" spans="2:28" ht="15.75" x14ac:dyDescent="0.25">
      <c r="B43" s="32">
        <v>1137179208</v>
      </c>
      <c r="C43" s="24">
        <v>100</v>
      </c>
      <c r="D43" s="25">
        <v>100</v>
      </c>
      <c r="E43" s="27">
        <v>100</v>
      </c>
      <c r="F43" s="27">
        <v>97.96</v>
      </c>
      <c r="G43" s="24">
        <v>100</v>
      </c>
      <c r="H43" s="27">
        <v>100</v>
      </c>
      <c r="I43" s="27">
        <v>100</v>
      </c>
      <c r="J43" s="27">
        <v>100</v>
      </c>
      <c r="K43" s="27">
        <v>100</v>
      </c>
      <c r="L43" s="27">
        <v>100</v>
      </c>
      <c r="M43" s="27">
        <v>100</v>
      </c>
      <c r="N43" s="27">
        <v>100</v>
      </c>
      <c r="O43" s="27">
        <v>100</v>
      </c>
      <c r="P43" s="27">
        <v>100</v>
      </c>
      <c r="Q43" s="27">
        <v>100</v>
      </c>
      <c r="R43" s="27">
        <v>100</v>
      </c>
      <c r="S43" s="24">
        <v>100</v>
      </c>
      <c r="T43" s="33"/>
      <c r="U43" s="33"/>
      <c r="V43" s="33"/>
      <c r="W43" s="33"/>
      <c r="X43" s="34"/>
      <c r="Y43" s="30">
        <f t="shared" si="0"/>
        <v>100</v>
      </c>
      <c r="Z43" s="30">
        <f t="shared" si="1"/>
        <v>99.32</v>
      </c>
      <c r="AA43" s="30">
        <f t="shared" si="2"/>
        <v>99.32</v>
      </c>
      <c r="AB43" s="30">
        <f t="shared" si="3"/>
        <v>99.591999999999985</v>
      </c>
    </row>
    <row r="44" spans="2:28" ht="15.75" x14ac:dyDescent="0.25">
      <c r="B44" s="32">
        <v>1000987233</v>
      </c>
      <c r="C44" s="24">
        <v>100</v>
      </c>
      <c r="D44" s="25">
        <v>100</v>
      </c>
      <c r="E44" s="27">
        <v>100</v>
      </c>
      <c r="F44" s="27">
        <v>91.84</v>
      </c>
      <c r="G44" s="24">
        <v>100</v>
      </c>
      <c r="H44" s="27">
        <v>100</v>
      </c>
      <c r="I44" s="27">
        <v>100</v>
      </c>
      <c r="J44" s="27">
        <v>100</v>
      </c>
      <c r="K44" s="27">
        <v>100</v>
      </c>
      <c r="L44" s="27">
        <v>100</v>
      </c>
      <c r="M44" s="27" t="s">
        <v>22</v>
      </c>
      <c r="N44" s="27">
        <v>100</v>
      </c>
      <c r="O44" s="27">
        <v>100</v>
      </c>
      <c r="P44" s="27">
        <v>100</v>
      </c>
      <c r="Q44" s="27">
        <v>100</v>
      </c>
      <c r="R44" s="27">
        <v>100</v>
      </c>
      <c r="S44" s="24">
        <v>100</v>
      </c>
      <c r="T44" s="33"/>
      <c r="U44" s="33"/>
      <c r="V44" s="33"/>
      <c r="W44" s="33"/>
      <c r="X44" s="34"/>
      <c r="Y44" s="30">
        <f t="shared" si="0"/>
        <v>100</v>
      </c>
      <c r="Z44" s="30">
        <f t="shared" si="1"/>
        <v>97.280000000000015</v>
      </c>
      <c r="AA44" s="30">
        <f t="shared" si="2"/>
        <v>97.280000000000015</v>
      </c>
      <c r="AB44" s="30">
        <f t="shared" si="3"/>
        <v>98.368000000000009</v>
      </c>
    </row>
    <row r="45" spans="2:28" ht="15.75" x14ac:dyDescent="0.25">
      <c r="B45" s="32">
        <v>1013682595</v>
      </c>
      <c r="C45" s="24">
        <v>100</v>
      </c>
      <c r="D45" s="25">
        <v>100</v>
      </c>
      <c r="E45" s="27">
        <v>100</v>
      </c>
      <c r="F45" s="27">
        <v>100</v>
      </c>
      <c r="G45" s="24">
        <v>100</v>
      </c>
      <c r="H45" s="27">
        <v>100</v>
      </c>
      <c r="I45" s="27">
        <v>100</v>
      </c>
      <c r="J45" s="27">
        <v>100</v>
      </c>
      <c r="K45" s="27">
        <v>100</v>
      </c>
      <c r="L45" s="27">
        <v>100</v>
      </c>
      <c r="M45" s="27" t="s">
        <v>22</v>
      </c>
      <c r="N45" s="27">
        <v>100</v>
      </c>
      <c r="O45" s="27">
        <v>100</v>
      </c>
      <c r="P45" s="27">
        <v>100</v>
      </c>
      <c r="Q45" s="27">
        <v>100</v>
      </c>
      <c r="R45" s="27">
        <v>100</v>
      </c>
      <c r="S45" s="24">
        <v>100</v>
      </c>
      <c r="T45" s="33"/>
      <c r="U45" s="33"/>
      <c r="V45" s="33"/>
      <c r="W45" s="33"/>
      <c r="X45" s="34"/>
      <c r="Y45" s="30">
        <f t="shared" si="0"/>
        <v>100</v>
      </c>
      <c r="Z45" s="30">
        <f t="shared" si="1"/>
        <v>100</v>
      </c>
      <c r="AA45" s="30">
        <f t="shared" si="2"/>
        <v>100</v>
      </c>
      <c r="AB45" s="30">
        <f t="shared" si="3"/>
        <v>100</v>
      </c>
    </row>
    <row r="46" spans="2:28" ht="15.75" x14ac:dyDescent="0.25">
      <c r="B46" s="32">
        <v>12918913</v>
      </c>
      <c r="C46" s="24">
        <v>100</v>
      </c>
      <c r="D46" s="25">
        <v>100</v>
      </c>
      <c r="E46" s="27">
        <v>100</v>
      </c>
      <c r="F46" s="27">
        <v>91.84</v>
      </c>
      <c r="G46" s="24">
        <v>100</v>
      </c>
      <c r="H46" s="27">
        <v>66.67</v>
      </c>
      <c r="I46" s="27">
        <v>100</v>
      </c>
      <c r="J46" s="27">
        <v>100</v>
      </c>
      <c r="K46" s="27">
        <v>100</v>
      </c>
      <c r="L46" s="27">
        <v>98.57</v>
      </c>
      <c r="M46" s="27" t="s">
        <v>21</v>
      </c>
      <c r="N46" s="27" t="s">
        <v>21</v>
      </c>
      <c r="O46" s="27" t="s">
        <v>21</v>
      </c>
      <c r="P46" s="27" t="s">
        <v>21</v>
      </c>
      <c r="Q46" s="27" t="s">
        <v>21</v>
      </c>
      <c r="R46" s="27" t="s">
        <v>21</v>
      </c>
      <c r="S46" s="24" t="s">
        <v>21</v>
      </c>
      <c r="T46" s="33"/>
      <c r="U46" s="33"/>
      <c r="V46" s="33"/>
      <c r="W46" s="33"/>
      <c r="X46" s="34"/>
      <c r="Y46" s="30">
        <f t="shared" si="0"/>
        <v>95.833750000000009</v>
      </c>
      <c r="Z46" s="30">
        <f t="shared" si="1"/>
        <v>95.204999999999998</v>
      </c>
      <c r="AA46" s="30">
        <f t="shared" si="2"/>
        <v>95.204999999999998</v>
      </c>
      <c r="AB46" s="30">
        <f t="shared" si="3"/>
        <v>95.456500000000005</v>
      </c>
    </row>
    <row r="47" spans="2:28" ht="15.75" x14ac:dyDescent="0.25">
      <c r="B47" s="32">
        <v>1152694490</v>
      </c>
      <c r="C47" s="24">
        <v>100</v>
      </c>
      <c r="D47" s="25">
        <v>100</v>
      </c>
      <c r="E47" s="27">
        <v>100</v>
      </c>
      <c r="F47" s="27">
        <v>98.57</v>
      </c>
      <c r="G47" s="24">
        <v>100</v>
      </c>
      <c r="H47" s="27">
        <v>66.67</v>
      </c>
      <c r="I47" s="27">
        <v>100</v>
      </c>
      <c r="J47" s="27">
        <v>100</v>
      </c>
      <c r="K47" s="27">
        <v>100</v>
      </c>
      <c r="L47" s="27">
        <v>100</v>
      </c>
      <c r="M47" s="27">
        <v>100</v>
      </c>
      <c r="N47" s="27">
        <v>100</v>
      </c>
      <c r="O47" s="27" t="s">
        <v>26</v>
      </c>
      <c r="P47" s="27">
        <v>100</v>
      </c>
      <c r="Q47" s="27">
        <v>97.5</v>
      </c>
      <c r="R47" s="27">
        <v>100</v>
      </c>
      <c r="S47" s="24">
        <v>100</v>
      </c>
      <c r="T47" s="33"/>
      <c r="U47" s="33"/>
      <c r="V47" s="33"/>
      <c r="W47" s="33"/>
      <c r="X47" s="34"/>
      <c r="Y47" s="30">
        <f t="shared" si="0"/>
        <v>97.243846153846164</v>
      </c>
      <c r="Z47" s="30">
        <f t="shared" si="1"/>
        <v>99.523333333333326</v>
      </c>
      <c r="AA47" s="30">
        <f t="shared" si="2"/>
        <v>99.523333333333326</v>
      </c>
      <c r="AB47" s="30">
        <f t="shared" si="3"/>
        <v>98.611538461538458</v>
      </c>
    </row>
    <row r="48" spans="2:28" ht="15.75" x14ac:dyDescent="0.25">
      <c r="B48" s="32">
        <v>1020463055</v>
      </c>
      <c r="C48" s="24">
        <v>100</v>
      </c>
      <c r="D48" s="25">
        <v>100</v>
      </c>
      <c r="E48" s="27">
        <v>100</v>
      </c>
      <c r="F48" s="27">
        <v>100</v>
      </c>
      <c r="G48" s="24">
        <v>100</v>
      </c>
      <c r="H48" s="27">
        <v>100</v>
      </c>
      <c r="I48" s="27">
        <v>100</v>
      </c>
      <c r="J48" s="27">
        <v>100</v>
      </c>
      <c r="K48" s="27">
        <v>87.5</v>
      </c>
      <c r="L48" s="27">
        <v>100</v>
      </c>
      <c r="M48" s="27">
        <v>100</v>
      </c>
      <c r="N48" s="27">
        <v>100</v>
      </c>
      <c r="O48" s="27">
        <v>100</v>
      </c>
      <c r="P48" s="27">
        <v>100</v>
      </c>
      <c r="Q48" s="27">
        <v>97.5</v>
      </c>
      <c r="R48" s="27">
        <v>100</v>
      </c>
      <c r="S48" s="24">
        <v>100</v>
      </c>
      <c r="T48" s="33"/>
      <c r="U48" s="33"/>
      <c r="V48" s="33"/>
      <c r="W48" s="33"/>
      <c r="X48" s="34"/>
      <c r="Y48" s="30">
        <f t="shared" si="0"/>
        <v>98.928571428571431</v>
      </c>
      <c r="Z48" s="30">
        <f t="shared" si="1"/>
        <v>100</v>
      </c>
      <c r="AA48" s="30">
        <f t="shared" si="2"/>
        <v>100</v>
      </c>
      <c r="AB48" s="30">
        <f t="shared" si="3"/>
        <v>99.571428571428584</v>
      </c>
    </row>
    <row r="49" spans="2:28" ht="15.75" x14ac:dyDescent="0.25">
      <c r="B49" s="32">
        <v>43622024</v>
      </c>
      <c r="C49" s="24">
        <v>100</v>
      </c>
      <c r="D49" s="25">
        <v>66.67</v>
      </c>
      <c r="E49" s="27">
        <v>100</v>
      </c>
      <c r="F49" s="27">
        <v>90.41</v>
      </c>
      <c r="G49" s="24">
        <v>100</v>
      </c>
      <c r="H49" s="27">
        <v>100</v>
      </c>
      <c r="I49" s="27">
        <v>100</v>
      </c>
      <c r="J49" s="27">
        <v>100</v>
      </c>
      <c r="K49" s="27">
        <v>100</v>
      </c>
      <c r="L49" s="27">
        <v>95</v>
      </c>
      <c r="M49" s="27">
        <v>100</v>
      </c>
      <c r="N49" s="27">
        <v>100</v>
      </c>
      <c r="O49" s="27">
        <v>100</v>
      </c>
      <c r="P49" s="27">
        <v>100</v>
      </c>
      <c r="Q49" s="27">
        <v>97.5</v>
      </c>
      <c r="R49" s="27">
        <v>100</v>
      </c>
      <c r="S49" s="24">
        <v>100</v>
      </c>
      <c r="T49" s="33"/>
      <c r="U49" s="33"/>
      <c r="V49" s="33"/>
      <c r="W49" s="33"/>
      <c r="X49" s="34"/>
      <c r="Y49" s="30">
        <f t="shared" si="0"/>
        <v>97.440714285714293</v>
      </c>
      <c r="Z49" s="30">
        <f t="shared" si="1"/>
        <v>95.136666666666656</v>
      </c>
      <c r="AA49" s="30">
        <f t="shared" si="2"/>
        <v>95.136666666666656</v>
      </c>
      <c r="AB49" s="30">
        <f t="shared" si="3"/>
        <v>96.058285714285716</v>
      </c>
    </row>
    <row r="50" spans="2:28" ht="15.75" x14ac:dyDescent="0.25">
      <c r="B50" s="32">
        <v>1214746106</v>
      </c>
      <c r="C50" s="35" t="s">
        <v>26</v>
      </c>
      <c r="D50" s="25">
        <v>100</v>
      </c>
      <c r="E50" s="27">
        <v>100</v>
      </c>
      <c r="F50" s="27">
        <v>100</v>
      </c>
      <c r="G50" s="24">
        <v>100</v>
      </c>
      <c r="H50" s="27">
        <v>100</v>
      </c>
      <c r="I50" s="27" t="s">
        <v>27</v>
      </c>
      <c r="J50" s="27" t="s">
        <v>27</v>
      </c>
      <c r="K50" s="27" t="s">
        <v>27</v>
      </c>
      <c r="L50" s="27" t="s">
        <v>27</v>
      </c>
      <c r="M50" s="27">
        <v>100</v>
      </c>
      <c r="N50" s="27">
        <v>100</v>
      </c>
      <c r="O50" s="27">
        <v>100</v>
      </c>
      <c r="P50" s="27">
        <v>100</v>
      </c>
      <c r="Q50" s="27">
        <v>100</v>
      </c>
      <c r="R50" s="27">
        <v>100</v>
      </c>
      <c r="S50" s="24">
        <v>100</v>
      </c>
      <c r="T50" s="33"/>
      <c r="U50" s="33"/>
      <c r="V50" s="33"/>
      <c r="W50" s="33"/>
      <c r="X50" s="34"/>
      <c r="Y50" s="30">
        <f t="shared" si="0"/>
        <v>100</v>
      </c>
      <c r="Z50" s="30">
        <f t="shared" si="1"/>
        <v>100</v>
      </c>
      <c r="AA50" s="30">
        <f t="shared" si="2"/>
        <v>100</v>
      </c>
      <c r="AB50" s="30">
        <f t="shared" si="3"/>
        <v>100</v>
      </c>
    </row>
    <row r="51" spans="2:28" ht="15.75" x14ac:dyDescent="0.25">
      <c r="B51" s="32">
        <v>53072371</v>
      </c>
      <c r="C51" s="24">
        <v>100</v>
      </c>
      <c r="D51" s="25">
        <v>100</v>
      </c>
      <c r="E51" s="27">
        <v>100</v>
      </c>
      <c r="F51" s="27">
        <v>97.96</v>
      </c>
      <c r="G51" s="24">
        <v>100</v>
      </c>
      <c r="H51" s="27">
        <v>100</v>
      </c>
      <c r="I51" s="27">
        <v>100</v>
      </c>
      <c r="J51" s="27">
        <v>100</v>
      </c>
      <c r="K51" s="27">
        <v>100</v>
      </c>
      <c r="L51" s="27">
        <v>70.709999999999994</v>
      </c>
      <c r="M51" s="27">
        <v>44.44</v>
      </c>
      <c r="N51" s="27">
        <v>100</v>
      </c>
      <c r="O51" s="27">
        <v>100</v>
      </c>
      <c r="P51" s="27">
        <v>100</v>
      </c>
      <c r="Q51" s="27">
        <v>100</v>
      </c>
      <c r="R51" s="27">
        <v>85.71</v>
      </c>
      <c r="S51" s="24">
        <v>100</v>
      </c>
      <c r="T51" s="33"/>
      <c r="U51" s="33"/>
      <c r="V51" s="33"/>
      <c r="W51" s="33"/>
      <c r="X51" s="34"/>
      <c r="Y51" s="30">
        <f t="shared" si="0"/>
        <v>96.031428571428577</v>
      </c>
      <c r="Z51" s="30">
        <f t="shared" si="1"/>
        <v>84.793333333333337</v>
      </c>
      <c r="AA51" s="30">
        <f t="shared" si="2"/>
        <v>84.793333333333337</v>
      </c>
      <c r="AB51" s="30">
        <f t="shared" si="3"/>
        <v>89.28857142857143</v>
      </c>
    </row>
    <row r="52" spans="2:28" ht="15.75" x14ac:dyDescent="0.25">
      <c r="B52" s="36">
        <v>22516973</v>
      </c>
      <c r="C52" s="37">
        <v>100</v>
      </c>
      <c r="D52" s="38">
        <v>100</v>
      </c>
      <c r="E52" s="39">
        <v>75</v>
      </c>
      <c r="F52" s="39">
        <v>94.49</v>
      </c>
      <c r="G52" s="37">
        <v>100</v>
      </c>
      <c r="H52" s="39">
        <v>100</v>
      </c>
      <c r="I52" s="39">
        <v>100</v>
      </c>
      <c r="J52" s="39">
        <v>100</v>
      </c>
      <c r="K52" s="39">
        <v>100</v>
      </c>
      <c r="L52" s="27">
        <v>82.14</v>
      </c>
      <c r="M52" s="27">
        <v>100</v>
      </c>
      <c r="N52" s="27">
        <v>100</v>
      </c>
      <c r="O52" s="27">
        <v>66.67</v>
      </c>
      <c r="P52" s="27">
        <v>100</v>
      </c>
      <c r="Q52" s="27">
        <v>85</v>
      </c>
      <c r="R52" s="27">
        <v>100</v>
      </c>
      <c r="S52" s="24">
        <v>100</v>
      </c>
      <c r="T52" s="38"/>
      <c r="U52" s="37"/>
      <c r="V52" s="37"/>
      <c r="W52" s="37"/>
      <c r="X52" s="40"/>
      <c r="Y52" s="30">
        <f t="shared" si="0"/>
        <v>94.762142857142862</v>
      </c>
      <c r="Z52" s="30">
        <f t="shared" si="1"/>
        <v>92.21</v>
      </c>
      <c r="AA52" s="30">
        <f t="shared" si="2"/>
        <v>92.21</v>
      </c>
      <c r="AB52" s="30">
        <f t="shared" si="3"/>
        <v>93.230857142857133</v>
      </c>
    </row>
    <row r="53" spans="2:28" customFormat="1" ht="15.75" x14ac:dyDescent="0.25">
      <c r="B53" s="31">
        <v>52994649</v>
      </c>
      <c r="C53" s="24">
        <v>100</v>
      </c>
      <c r="D53" s="24">
        <v>66.67</v>
      </c>
      <c r="E53" s="24">
        <v>100</v>
      </c>
      <c r="F53" s="24">
        <v>97.96</v>
      </c>
      <c r="G53" s="24">
        <v>100</v>
      </c>
      <c r="H53" s="24">
        <v>100</v>
      </c>
      <c r="I53" s="24">
        <v>100</v>
      </c>
      <c r="J53" s="24">
        <v>100</v>
      </c>
      <c r="K53" s="27">
        <v>100</v>
      </c>
      <c r="L53" s="27">
        <v>100</v>
      </c>
      <c r="M53" s="27">
        <v>100</v>
      </c>
      <c r="N53" s="27">
        <v>100</v>
      </c>
      <c r="O53" s="27">
        <v>66.67</v>
      </c>
      <c r="P53" s="27">
        <v>100</v>
      </c>
      <c r="Q53" s="27">
        <v>100</v>
      </c>
      <c r="R53" s="27">
        <v>85.71</v>
      </c>
      <c r="S53" s="24">
        <v>100</v>
      </c>
      <c r="T53" s="25"/>
      <c r="U53" s="24"/>
      <c r="V53" s="24"/>
      <c r="W53" s="24"/>
      <c r="X53" s="24"/>
      <c r="Y53" s="30">
        <f t="shared" si="0"/>
        <v>95.238571428571433</v>
      </c>
      <c r="Z53" s="30">
        <f t="shared" si="1"/>
        <v>94.556666666666658</v>
      </c>
      <c r="AA53" s="30">
        <f t="shared" si="2"/>
        <v>94.556666666666658</v>
      </c>
      <c r="AB53" s="30">
        <f t="shared" si="3"/>
        <v>94.829428571428565</v>
      </c>
    </row>
    <row r="54" spans="2:28" ht="15.75" x14ac:dyDescent="0.25">
      <c r="B54" s="32">
        <v>52907936</v>
      </c>
      <c r="C54" s="37">
        <v>100</v>
      </c>
      <c r="D54" s="37">
        <v>66.67</v>
      </c>
      <c r="E54" s="41">
        <v>100</v>
      </c>
      <c r="F54" s="37">
        <v>100</v>
      </c>
      <c r="G54" s="37">
        <v>100</v>
      </c>
      <c r="H54" s="37">
        <v>100</v>
      </c>
      <c r="I54" s="37">
        <v>100</v>
      </c>
      <c r="J54" s="37" t="s">
        <v>23</v>
      </c>
      <c r="K54" s="39">
        <v>100</v>
      </c>
      <c r="L54" s="39">
        <v>85.71</v>
      </c>
      <c r="M54" s="27">
        <v>100</v>
      </c>
      <c r="N54" s="39">
        <v>100</v>
      </c>
      <c r="O54" s="39">
        <v>100</v>
      </c>
      <c r="P54" s="27" t="s">
        <v>28</v>
      </c>
      <c r="Q54" s="39" t="s">
        <v>28</v>
      </c>
      <c r="R54" s="39" t="s">
        <v>28</v>
      </c>
      <c r="S54" s="24">
        <v>100</v>
      </c>
      <c r="T54" s="38"/>
      <c r="U54" s="37"/>
      <c r="V54" s="37"/>
      <c r="W54" s="37"/>
      <c r="X54" s="37"/>
      <c r="Y54" s="42">
        <f t="shared" si="0"/>
        <v>96.970000000000013</v>
      </c>
      <c r="Z54" s="42">
        <f t="shared" si="1"/>
        <v>92.85499999999999</v>
      </c>
      <c r="AA54" s="42">
        <f t="shared" si="2"/>
        <v>92.85499999999999</v>
      </c>
      <c r="AB54" s="42">
        <f t="shared" si="3"/>
        <v>94.501000000000005</v>
      </c>
    </row>
    <row r="55" spans="2:28" ht="15.75" x14ac:dyDescent="0.25">
      <c r="B55" s="43">
        <v>1053855237</v>
      </c>
      <c r="C55" s="44" t="s">
        <v>21</v>
      </c>
      <c r="D55" s="44" t="s">
        <v>21</v>
      </c>
      <c r="E55" s="44" t="s">
        <v>21</v>
      </c>
      <c r="F55" s="44" t="s">
        <v>21</v>
      </c>
      <c r="G55" s="44" t="s">
        <v>21</v>
      </c>
      <c r="H55" s="44" t="s">
        <v>21</v>
      </c>
      <c r="I55" s="44" t="s">
        <v>21</v>
      </c>
      <c r="J55" s="45" t="s">
        <v>21</v>
      </c>
      <c r="K55" s="24" t="s">
        <v>21</v>
      </c>
      <c r="L55" s="46" t="s">
        <v>21</v>
      </c>
      <c r="M55" s="27">
        <v>66.67</v>
      </c>
      <c r="N55" s="24">
        <v>100</v>
      </c>
      <c r="O55" s="27">
        <v>100</v>
      </c>
      <c r="P55" s="27">
        <v>100</v>
      </c>
      <c r="Q55" s="24">
        <v>100</v>
      </c>
      <c r="R55" s="27">
        <v>100</v>
      </c>
      <c r="S55" s="24">
        <v>100</v>
      </c>
      <c r="T55" s="47"/>
      <c r="U55" s="48"/>
      <c r="V55" s="48"/>
      <c r="W55" s="48"/>
      <c r="X55" s="48"/>
      <c r="Y55" s="42">
        <f t="shared" si="0"/>
        <v>94.445000000000007</v>
      </c>
      <c r="Z55" s="42">
        <f t="shared" si="1"/>
        <v>100</v>
      </c>
      <c r="AA55" s="42">
        <f t="shared" si="2"/>
        <v>100</v>
      </c>
      <c r="AB55" s="42">
        <f t="shared" si="3"/>
        <v>97.778000000000006</v>
      </c>
    </row>
    <row r="56" spans="2:28" ht="15.75" x14ac:dyDescent="0.25">
      <c r="C56"/>
      <c r="D56"/>
      <c r="E56"/>
      <c r="F56"/>
      <c r="K56" s="49"/>
      <c r="N56" s="49"/>
      <c r="O56" s="49"/>
      <c r="R56" s="49"/>
    </row>
    <row r="57" spans="2:28" ht="15.75" x14ac:dyDescent="0.25">
      <c r="C57"/>
      <c r="D57"/>
      <c r="E57"/>
      <c r="F57"/>
      <c r="J57"/>
      <c r="N57" s="49"/>
      <c r="O57" s="49"/>
      <c r="R57" s="49"/>
    </row>
    <row r="58" spans="2:28" x14ac:dyDescent="0.25">
      <c r="C58"/>
      <c r="D58"/>
      <c r="E58"/>
      <c r="F58"/>
      <c r="J58"/>
    </row>
    <row r="59" spans="2:28" x14ac:dyDescent="0.25">
      <c r="C59"/>
      <c r="D59"/>
      <c r="E59"/>
      <c r="F59"/>
      <c r="J59"/>
    </row>
    <row r="60" spans="2:28" x14ac:dyDescent="0.25">
      <c r="C60"/>
      <c r="D60"/>
      <c r="E60"/>
      <c r="F60"/>
      <c r="J60"/>
    </row>
    <row r="61" spans="2:28" x14ac:dyDescent="0.25">
      <c r="C61"/>
      <c r="D61"/>
      <c r="E61"/>
      <c r="F61"/>
      <c r="J61"/>
    </row>
    <row r="62" spans="2:28" x14ac:dyDescent="0.25">
      <c r="C62"/>
      <c r="D62"/>
      <c r="E62"/>
      <c r="F62"/>
      <c r="J62"/>
    </row>
    <row r="63" spans="2:28" x14ac:dyDescent="0.25">
      <c r="C63"/>
      <c r="D63"/>
      <c r="E63"/>
      <c r="F63"/>
      <c r="J63"/>
    </row>
    <row r="64" spans="2:28" x14ac:dyDescent="0.25">
      <c r="C64"/>
      <c r="D64"/>
      <c r="E64"/>
      <c r="F64"/>
      <c r="J64"/>
    </row>
    <row r="65" spans="3:10" x14ac:dyDescent="0.25">
      <c r="C65"/>
      <c r="D65"/>
      <c r="E65"/>
      <c r="F65"/>
      <c r="J65"/>
    </row>
    <row r="66" spans="3:10" x14ac:dyDescent="0.25">
      <c r="C66"/>
      <c r="D66"/>
      <c r="E66"/>
      <c r="F66"/>
      <c r="J66"/>
    </row>
    <row r="67" spans="3:10" x14ac:dyDescent="0.25">
      <c r="C67"/>
      <c r="D67"/>
      <c r="E67"/>
      <c r="F67"/>
      <c r="J67"/>
    </row>
    <row r="68" spans="3:10" x14ac:dyDescent="0.25">
      <c r="C68"/>
      <c r="D68"/>
      <c r="E68"/>
      <c r="F68"/>
      <c r="J68"/>
    </row>
    <row r="69" spans="3:10" x14ac:dyDescent="0.25">
      <c r="C69"/>
      <c r="D69"/>
      <c r="E69"/>
      <c r="F69"/>
      <c r="J69"/>
    </row>
    <row r="70" spans="3:10" x14ac:dyDescent="0.25">
      <c r="C70"/>
      <c r="D70"/>
      <c r="E70"/>
      <c r="F70"/>
      <c r="J70"/>
    </row>
    <row r="71" spans="3:10" x14ac:dyDescent="0.25">
      <c r="C71"/>
      <c r="D71"/>
      <c r="E71"/>
      <c r="F71"/>
      <c r="J71"/>
    </row>
    <row r="72" spans="3:10" x14ac:dyDescent="0.25">
      <c r="C72"/>
      <c r="D72"/>
      <c r="E72"/>
      <c r="F72"/>
      <c r="J72"/>
    </row>
    <row r="73" spans="3:10" x14ac:dyDescent="0.25">
      <c r="C73"/>
      <c r="D73"/>
      <c r="E73"/>
      <c r="F73"/>
      <c r="J73"/>
    </row>
    <row r="74" spans="3:10" x14ac:dyDescent="0.25">
      <c r="C74"/>
      <c r="D74"/>
      <c r="E74"/>
      <c r="F74"/>
      <c r="J74"/>
    </row>
  </sheetData>
  <mergeCells count="5">
    <mergeCell ref="AA4:AA6"/>
    <mergeCell ref="AB4:AB6"/>
    <mergeCell ref="Y7:Y8"/>
    <mergeCell ref="Z7:Z8"/>
    <mergeCell ref="B6:H6"/>
  </mergeCells>
  <conditionalFormatting sqref="B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Johana Garcia Velasquez</dc:creator>
  <cp:lastModifiedBy>Erika Johana Garcia Velasquez</cp:lastModifiedBy>
  <dcterms:created xsi:type="dcterms:W3CDTF">2023-04-26T12:13:13Z</dcterms:created>
  <dcterms:modified xsi:type="dcterms:W3CDTF">2023-04-26T12:14:01Z</dcterms:modified>
</cp:coreProperties>
</file>