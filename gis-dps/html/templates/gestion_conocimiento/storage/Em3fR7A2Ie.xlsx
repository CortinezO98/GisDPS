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GonzalezV\Downloads\"/>
    </mc:Choice>
  </mc:AlternateContent>
  <xr:revisionPtr revIDLastSave="0" documentId="13_ncr:1_{3D71D18E-441E-4C8D-B21A-9D7F59A0421A}" xr6:coauthVersionLast="47" xr6:coauthVersionMax="47" xr10:uidLastSave="{00000000-0000-0000-0000-000000000000}"/>
  <bookViews>
    <workbookView xWindow="-120" yWindow="-120" windowWidth="20730" windowHeight="11160" tabRatio="769" xr2:uid="{8815DFDA-A08C-4138-9556-9152405D3961}"/>
  </bookViews>
  <sheets>
    <sheet name="INFORME GIFA" sheetId="3" r:id="rId1"/>
  </sheets>
  <definedNames>
    <definedName name="_xlnm._FilterDatabase" localSheetId="0" hidden="1">'INFORME GIFA'!$A$6:$AB$51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0" i="3" l="1"/>
  <c r="AB55" i="3"/>
  <c r="AC55" i="3" s="1"/>
  <c r="AA55" i="3"/>
  <c r="AD55" i="3" s="1"/>
  <c r="AB10" i="3" l="1"/>
  <c r="AC10" i="3" s="1"/>
  <c r="AB11" i="3"/>
  <c r="AC11" i="3" s="1"/>
  <c r="AB12" i="3"/>
  <c r="AC12" i="3" s="1"/>
  <c r="AB13" i="3"/>
  <c r="AC13" i="3" s="1"/>
  <c r="AB14" i="3"/>
  <c r="AC14" i="3" s="1"/>
  <c r="AB15" i="3"/>
  <c r="AC15" i="3" s="1"/>
  <c r="AB16" i="3"/>
  <c r="AC16" i="3" s="1"/>
  <c r="AB17" i="3"/>
  <c r="AC17" i="3" s="1"/>
  <c r="AB18" i="3"/>
  <c r="AC18" i="3" s="1"/>
  <c r="AB19" i="3"/>
  <c r="AC19" i="3" s="1"/>
  <c r="AB20" i="3"/>
  <c r="AC20" i="3" s="1"/>
  <c r="AB21" i="3"/>
  <c r="AC21" i="3" s="1"/>
  <c r="AB22" i="3"/>
  <c r="AC22" i="3" s="1"/>
  <c r="AB23" i="3"/>
  <c r="AC23" i="3" s="1"/>
  <c r="AB24" i="3"/>
  <c r="AC24" i="3" s="1"/>
  <c r="AB25" i="3"/>
  <c r="AC25" i="3" s="1"/>
  <c r="AB26" i="3"/>
  <c r="AC26" i="3" s="1"/>
  <c r="AB27" i="3"/>
  <c r="AC27" i="3" s="1"/>
  <c r="AB28" i="3"/>
  <c r="AC28" i="3" s="1"/>
  <c r="AB29" i="3"/>
  <c r="AC29" i="3" s="1"/>
  <c r="AB30" i="3"/>
  <c r="AC30" i="3" s="1"/>
  <c r="AB31" i="3"/>
  <c r="AC31" i="3" s="1"/>
  <c r="AB32" i="3"/>
  <c r="AC32" i="3" s="1"/>
  <c r="AB33" i="3"/>
  <c r="AC33" i="3" s="1"/>
  <c r="AB34" i="3"/>
  <c r="AC34" i="3" s="1"/>
  <c r="AB35" i="3"/>
  <c r="AC35" i="3" s="1"/>
  <c r="AB36" i="3"/>
  <c r="AC36" i="3" s="1"/>
  <c r="AB37" i="3"/>
  <c r="AC37" i="3" s="1"/>
  <c r="AB38" i="3"/>
  <c r="AC38" i="3" s="1"/>
  <c r="AB39" i="3"/>
  <c r="AC39" i="3" s="1"/>
  <c r="AC40" i="3"/>
  <c r="AB41" i="3"/>
  <c r="AC41" i="3" s="1"/>
  <c r="AB42" i="3"/>
  <c r="AC42" i="3" s="1"/>
  <c r="AB43" i="3"/>
  <c r="AC43" i="3" s="1"/>
  <c r="AB44" i="3"/>
  <c r="AC44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2" i="3"/>
  <c r="AC52" i="3" s="1"/>
  <c r="AB53" i="3"/>
  <c r="AC53" i="3" s="1"/>
  <c r="AB54" i="3"/>
  <c r="AC54" i="3" s="1"/>
  <c r="AA10" i="3"/>
  <c r="AA11" i="3"/>
  <c r="AD11" i="3" s="1"/>
  <c r="AA12" i="3"/>
  <c r="AD12" i="3" s="1"/>
  <c r="AA13" i="3"/>
  <c r="AD13" i="3" s="1"/>
  <c r="AA14" i="3"/>
  <c r="AA15" i="3"/>
  <c r="AD15" i="3" s="1"/>
  <c r="AA16" i="3"/>
  <c r="AA17" i="3"/>
  <c r="AA18" i="3"/>
  <c r="AA19" i="3"/>
  <c r="AD19" i="3" s="1"/>
  <c r="AA20" i="3"/>
  <c r="AD20" i="3" s="1"/>
  <c r="AA21" i="3"/>
  <c r="AD21" i="3" s="1"/>
  <c r="AA22" i="3"/>
  <c r="AA23" i="3"/>
  <c r="AD23" i="3" s="1"/>
  <c r="AA24" i="3"/>
  <c r="AA25" i="3"/>
  <c r="AA26" i="3"/>
  <c r="AA27" i="3"/>
  <c r="AD27" i="3" s="1"/>
  <c r="AA28" i="3"/>
  <c r="AD28" i="3" s="1"/>
  <c r="AA29" i="3"/>
  <c r="AD29" i="3" s="1"/>
  <c r="AA30" i="3"/>
  <c r="AA31" i="3"/>
  <c r="AD31" i="3" s="1"/>
  <c r="AA32" i="3"/>
  <c r="AA33" i="3"/>
  <c r="AA34" i="3"/>
  <c r="AA35" i="3"/>
  <c r="AD35" i="3" s="1"/>
  <c r="AA36" i="3"/>
  <c r="AD36" i="3" s="1"/>
  <c r="AA37" i="3"/>
  <c r="AD37" i="3" s="1"/>
  <c r="AA38" i="3"/>
  <c r="AA39" i="3"/>
  <c r="AD39" i="3" s="1"/>
  <c r="AA40" i="3"/>
  <c r="AD40" i="3" s="1"/>
  <c r="AA41" i="3"/>
  <c r="AA42" i="3"/>
  <c r="AA43" i="3"/>
  <c r="AD43" i="3" s="1"/>
  <c r="AA44" i="3"/>
  <c r="AD44" i="3" s="1"/>
  <c r="AA45" i="3"/>
  <c r="AD45" i="3" s="1"/>
  <c r="AA46" i="3"/>
  <c r="AA47" i="3"/>
  <c r="AD47" i="3" s="1"/>
  <c r="AA48" i="3"/>
  <c r="AA49" i="3"/>
  <c r="AA50" i="3"/>
  <c r="AA51" i="3"/>
  <c r="AD51" i="3" s="1"/>
  <c r="AA52" i="3"/>
  <c r="AD52" i="3" s="1"/>
  <c r="AA53" i="3"/>
  <c r="AD53" i="3" s="1"/>
  <c r="AA54" i="3"/>
  <c r="AB9" i="3"/>
  <c r="AC9" i="3" s="1"/>
  <c r="AA9" i="3"/>
  <c r="AD9" i="3" s="1"/>
  <c r="AD50" i="3" l="1"/>
  <c r="AD42" i="3"/>
  <c r="AD34" i="3"/>
  <c r="AD26" i="3"/>
  <c r="AD18" i="3"/>
  <c r="AD10" i="3"/>
  <c r="AD49" i="3"/>
  <c r="AD25" i="3"/>
  <c r="AD24" i="3"/>
  <c r="AD16" i="3"/>
  <c r="AD33" i="3"/>
  <c r="AD48" i="3"/>
  <c r="AD32" i="3"/>
  <c r="AD41" i="3"/>
  <c r="AD17" i="3"/>
  <c r="AD54" i="3"/>
  <c r="AD46" i="3"/>
  <c r="AD38" i="3"/>
  <c r="AD30" i="3"/>
  <c r="AD22" i="3"/>
  <c r="AD14" i="3"/>
</calcChain>
</file>

<file path=xl/sharedStrings.xml><?xml version="1.0" encoding="utf-8"?>
<sst xmlns="http://schemas.openxmlformats.org/spreadsheetml/2006/main" count="349" uniqueCount="38">
  <si>
    <t>JEFE INMEDIATO</t>
  </si>
  <si>
    <t>LUNES</t>
  </si>
  <si>
    <t>MARTES</t>
  </si>
  <si>
    <t>MIÉRCOLES</t>
  </si>
  <si>
    <t>EVALUACIÓN</t>
  </si>
  <si>
    <t>JUEVES</t>
  </si>
  <si>
    <t>VIERNES</t>
  </si>
  <si>
    <t>MIERCOLES</t>
  </si>
  <si>
    <t>PROMEDIO
PRE TURNOS</t>
  </si>
  <si>
    <t>PROMEDIO EVALUACIONES</t>
  </si>
  <si>
    <t>NOTA FINAL FORMACIÓN</t>
  </si>
  <si>
    <t>SEMANA 1</t>
  </si>
  <si>
    <t>SEMANA 2</t>
  </si>
  <si>
    <t>SEMANA 3</t>
  </si>
  <si>
    <t>EVA FINAL</t>
  </si>
  <si>
    <t>ECA</t>
  </si>
  <si>
    <t>FINAL</t>
  </si>
  <si>
    <t>DC</t>
  </si>
  <si>
    <t>NA</t>
  </si>
  <si>
    <t>INC</t>
  </si>
  <si>
    <t>DF</t>
  </si>
  <si>
    <t>CAL</t>
  </si>
  <si>
    <t>COORDINADOR</t>
  </si>
  <si>
    <t>CLARA AGUILAR</t>
  </si>
  <si>
    <t>PROCESO</t>
  </si>
  <si>
    <t>DIANA JACKELINE RIVEROS</t>
  </si>
  <si>
    <t>REGIONAL CAUCA / POPAYAN</t>
  </si>
  <si>
    <t>ECA 
INFORME
CLIENTE</t>
  </si>
  <si>
    <t>ECA 
EVALUACIÓN DESEMPEÑO</t>
  </si>
  <si>
    <t xml:space="preserve">DETALLE DE NOTAS PLANTA INSCRIPCIONES FA </t>
  </si>
  <si>
    <t>CÉDULA</t>
  </si>
  <si>
    <t>NOTA 
FINAL</t>
  </si>
  <si>
    <t>INSCRIPCIONES FA</t>
  </si>
  <si>
    <t>SANDRA MILENA GUALTEROS CASTRO</t>
  </si>
  <si>
    <t>NV</t>
  </si>
  <si>
    <t>COMP</t>
  </si>
  <si>
    <t>LAURA JUDITH OSTOR GOMEZ</t>
  </si>
  <si>
    <t>FERIA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</si>
</sst>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\ * #,##0_);_(&quot;$&quot;\ * \(#,##0\);_(&quot;$&quot;\ * &quot;-&quot;_);_(@_)"/>
    <numFmt numFmtId="165" formatCode="_(&quot;$&quot;\ * #,##0.00_);_(&quot;$&quot;\ * \(#,##0.00\);_(&quot;$&quot;\ * &quot;-&quot;??_);_(@_)"/>
    <numFmt numFmtId="166" formatCode="_-&quot;$&quot;* #,##0.00_-;\-&quot;$&quot;* #,##0.00_-;_-&quot;$&quot;* &quot;-&quot;??_-;_-@_-"/>
  </numFmts>
  <fonts count="39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9"/>
      <color theme="0"/>
      <name val="Tahoma"/>
      <family val="2"/>
    </font>
    <font>
      <b/>
      <sz val="9"/>
      <color theme="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entury Gothic"/>
      <family val="2"/>
    </font>
    <font>
      <u/>
      <sz val="10"/>
      <color theme="10"/>
      <name val="Century Gothic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FFFF"/>
      <name val="Tahoma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9"/>
      <color rgb="FF000000"/>
      <name val="Calibri Light"/>
      <family val="2"/>
    </font>
    <font>
      <sz val="12"/>
      <color rgb="FF000000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9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10" applyNumberFormat="0" applyAlignment="0" applyProtection="0"/>
    <xf numFmtId="0" fontId="14" fillId="10" borderId="11" applyNumberFormat="0" applyAlignment="0" applyProtection="0"/>
    <xf numFmtId="0" fontId="15" fillId="10" borderId="10" applyNumberFormat="0" applyAlignment="0" applyProtection="0"/>
    <xf numFmtId="0" fontId="16" fillId="0" borderId="12" applyNumberFormat="0" applyFill="0" applyAlignment="0" applyProtection="0"/>
    <xf numFmtId="0" fontId="17" fillId="11" borderId="13" applyNumberFormat="0" applyAlignment="0" applyProtection="0"/>
    <xf numFmtId="0" fontId="18" fillId="0" borderId="0" applyNumberFormat="0" applyFill="0" applyBorder="0" applyAlignment="0" applyProtection="0"/>
    <xf numFmtId="0" fontId="4" fillId="12" borderId="14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1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1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1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22" fillId="0" borderId="0" applyBorder="0" applyProtection="0"/>
    <xf numFmtId="0" fontId="23" fillId="0" borderId="0" applyNumberForma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165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/>
    <xf numFmtId="0" fontId="27" fillId="0" borderId="0"/>
    <xf numFmtId="0" fontId="4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2" fillId="8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4" fillId="0" borderId="0"/>
  </cellStyleXfs>
  <cellXfs count="63">
    <xf numFmtId="0" fontId="0" fillId="0" borderId="0" xfId="0"/>
    <xf numFmtId="0" fontId="0" fillId="5" borderId="0" xfId="0" applyFill="1"/>
    <xf numFmtId="0" fontId="5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" fontId="2" fillId="3" borderId="21" xfId="0" applyNumberFormat="1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/>
    </xf>
    <xf numFmtId="9" fontId="2" fillId="3" borderId="18" xfId="0" applyNumberFormat="1" applyFont="1" applyFill="1" applyBorder="1" applyAlignment="1">
      <alignment horizontal="center" vertical="center"/>
    </xf>
    <xf numFmtId="1" fontId="2" fillId="3" borderId="35" xfId="0" applyNumberFormat="1" applyFont="1" applyFill="1" applyBorder="1" applyAlignment="1">
      <alignment horizontal="center" vertical="center"/>
    </xf>
    <xf numFmtId="0" fontId="33" fillId="40" borderId="5" xfId="0" applyFont="1" applyFill="1" applyBorder="1" applyAlignment="1">
      <alignment horizontal="center" vertical="center"/>
    </xf>
    <xf numFmtId="0" fontId="33" fillId="40" borderId="32" xfId="0" applyFont="1" applyFill="1" applyBorder="1" applyAlignment="1">
      <alignment horizontal="center" vertical="center"/>
    </xf>
    <xf numFmtId="14" fontId="33" fillId="41" borderId="17" xfId="0" applyNumberFormat="1" applyFont="1" applyFill="1" applyBorder="1" applyAlignment="1">
      <alignment horizontal="center" vertical="center"/>
    </xf>
    <xf numFmtId="0" fontId="35" fillId="0" borderId="38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5" fillId="37" borderId="38" xfId="0" applyFont="1" applyFill="1" applyBorder="1" applyAlignment="1">
      <alignment horizontal="center"/>
    </xf>
    <xf numFmtId="0" fontId="33" fillId="40" borderId="17" xfId="0" applyFont="1" applyFill="1" applyBorder="1" applyAlignment="1">
      <alignment horizontal="center" vertical="center"/>
    </xf>
    <xf numFmtId="0" fontId="35" fillId="0" borderId="36" xfId="0" applyFont="1" applyBorder="1" applyAlignment="1">
      <alignment horizontal="center"/>
    </xf>
    <xf numFmtId="0" fontId="0" fillId="0" borderId="0" xfId="0" applyAlignment="1">
      <alignment horizontal="center"/>
    </xf>
    <xf numFmtId="0" fontId="35" fillId="0" borderId="37" xfId="0" applyFont="1" applyBorder="1" applyAlignment="1">
      <alignment horizontal="center"/>
    </xf>
    <xf numFmtId="1" fontId="30" fillId="38" borderId="6" xfId="0" applyNumberFormat="1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37" borderId="2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38" xfId="0" quotePrefix="1" applyFont="1" applyBorder="1" applyAlignment="1">
      <alignment horizontal="center"/>
    </xf>
    <xf numFmtId="0" fontId="34" fillId="0" borderId="38" xfId="0" applyFont="1" applyBorder="1" applyAlignment="1">
      <alignment horizontal="center"/>
    </xf>
    <xf numFmtId="0" fontId="37" fillId="37" borderId="2" xfId="0" applyFont="1" applyFill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8" fillId="0" borderId="38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4" fillId="0" borderId="36" xfId="0" applyFont="1" applyBorder="1" applyAlignment="1">
      <alignment horizontal="center"/>
    </xf>
    <xf numFmtId="0" fontId="34" fillId="42" borderId="19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34" fillId="0" borderId="39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4" fillId="0" borderId="28" xfId="0" quotePrefix="1" applyFont="1" applyBorder="1" applyAlignment="1">
      <alignment horizontal="center"/>
    </xf>
    <xf numFmtId="1" fontId="30" fillId="38" borderId="18" xfId="0" applyNumberFormat="1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38" fillId="0" borderId="38" xfId="0" quotePrefix="1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1" fontId="30" fillId="38" borderId="19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2" fillId="39" borderId="25" xfId="0" applyFont="1" applyFill="1" applyBorder="1" applyAlignment="1">
      <alignment horizontal="center" vertical="center" wrapText="1"/>
    </xf>
    <xf numFmtId="0" fontId="32" fillId="39" borderId="26" xfId="0" applyFont="1" applyFill="1" applyBorder="1" applyAlignment="1">
      <alignment horizontal="center" vertical="center" wrapText="1"/>
    </xf>
    <xf numFmtId="0" fontId="32" fillId="39" borderId="27" xfId="0" applyFont="1" applyFill="1" applyBorder="1" applyAlignment="1">
      <alignment horizontal="center" vertical="center" wrapText="1"/>
    </xf>
    <xf numFmtId="0" fontId="31" fillId="39" borderId="22" xfId="0" applyFont="1" applyFill="1" applyBorder="1" applyAlignment="1">
      <alignment horizontal="center" vertical="center" wrapText="1"/>
    </xf>
    <xf numFmtId="0" fontId="31" fillId="39" borderId="23" xfId="0" applyFont="1" applyFill="1" applyBorder="1" applyAlignment="1">
      <alignment horizontal="center" vertical="center" wrapText="1"/>
    </xf>
    <xf numFmtId="0" fontId="31" fillId="39" borderId="24" xfId="0" applyFont="1" applyFill="1" applyBorder="1" applyAlignment="1">
      <alignment horizontal="center" vertical="center" wrapText="1"/>
    </xf>
  </cellXfs>
  <cellStyles count="89">
    <cellStyle name="_Asistencias y Eva__control citaciones_COMCEL_control citaciones" xfId="48" xr:uid="{90136D97-E481-4D4E-A6A3-E0B295D90733}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62" xr:uid="{2C0D7C08-9991-4EDA-8811-8448568138B3}"/>
    <cellStyle name="60% - Énfasis2" xfId="25" builtinId="36" customBuiltin="1"/>
    <cellStyle name="60% - Énfasis2 2" xfId="63" xr:uid="{3D95F24A-2CCE-405C-9EDB-6542590D58B4}"/>
    <cellStyle name="60% - Énfasis3" xfId="29" builtinId="40" customBuiltin="1"/>
    <cellStyle name="60% - Énfasis3 2" xfId="64" xr:uid="{96C196AB-40D2-48DA-B9C5-F4FDCD0B9722}"/>
    <cellStyle name="60% - Énfasis4" xfId="33" builtinId="44" customBuiltin="1"/>
    <cellStyle name="60% - Énfasis4 2" xfId="65" xr:uid="{9E9F88BD-69D3-4B48-8C06-71440955310A}"/>
    <cellStyle name="60% - Énfasis5" xfId="37" builtinId="48" customBuiltin="1"/>
    <cellStyle name="60% - Énfasis5 2" xfId="66" xr:uid="{F870A8B2-6046-44AF-AF46-846335A191FB}"/>
    <cellStyle name="60% - Énfasis6" xfId="41" builtinId="52" customBuiltin="1"/>
    <cellStyle name="60% - Énfasis6 2" xfId="67" xr:uid="{360AE76C-EFF1-4D11-94A5-0B9D92B74FFB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Normal" xfId="42" xr:uid="{4E8CB045-CD1F-4D48-91EE-9CC1813C7069}"/>
    <cellStyle name="Hipervínculo 2" xfId="43" xr:uid="{9FF7D309-44B1-4598-9501-4AA5204923F5}"/>
    <cellStyle name="Hipervínculo 3" xfId="45" xr:uid="{0E3D7610-A7E7-4DC6-B561-63016D09A19F}"/>
    <cellStyle name="Hipervínculo 4" xfId="87" xr:uid="{83AD1B36-E548-421D-9E74-F8C3A3B573F3}"/>
    <cellStyle name="Hyperlink" xfId="55" xr:uid="{FDE2FFE8-36EF-4BC7-8DF5-3FA6BADB15B9}"/>
    <cellStyle name="Incorrecto" xfId="7" builtinId="27" customBuiltin="1"/>
    <cellStyle name="Millares 2" xfId="47" xr:uid="{36B075B3-1D18-43D8-A1F8-B3B919522629}"/>
    <cellStyle name="Moneda [0] 2" xfId="53" xr:uid="{ECDC46DF-5FF5-43BF-BE93-5CC0F691205F}"/>
    <cellStyle name="Moneda [0] 2 2" xfId="70" xr:uid="{36EA8AEB-397F-432A-94FD-CC29FB74E161}"/>
    <cellStyle name="Moneda [0] 3" xfId="81" xr:uid="{2CAB4484-43E3-46C4-BF38-BF0D710B9775}"/>
    <cellStyle name="Moneda [0] 4" xfId="59" xr:uid="{A5EC2892-21DD-4453-861A-1AFA80C13584}"/>
    <cellStyle name="Moneda 10" xfId="78" xr:uid="{BACE0C89-D276-4B66-9DB2-00B20196094E}"/>
    <cellStyle name="Moneda 11" xfId="73" xr:uid="{12C8CA26-6FAC-4416-B157-664230CB6044}"/>
    <cellStyle name="Moneda 12" xfId="80" xr:uid="{1A9384E3-6FC1-429D-94BE-693DA9B4A11A}"/>
    <cellStyle name="Moneda 13" xfId="85" xr:uid="{80AA45BD-9445-488A-89F3-DAAFF07559AD}"/>
    <cellStyle name="Moneda 14" xfId="82" xr:uid="{613186B3-D451-4E70-AF6C-7916B96C1AE2}"/>
    <cellStyle name="Moneda 15" xfId="83" xr:uid="{313BB9BF-354E-4FAB-A8FB-30B3303F7E76}"/>
    <cellStyle name="Moneda 16" xfId="84" xr:uid="{03A2E4D3-9E6C-4632-A8D0-194977C233BB}"/>
    <cellStyle name="Moneda 17" xfId="58" xr:uid="{2278AAC5-BB02-4C25-9689-BEA38802F94B}"/>
    <cellStyle name="Moneda 18" xfId="56" xr:uid="{CF76DDAB-3A1C-4465-A4EC-28E936CE7F3C}"/>
    <cellStyle name="Moneda 19" xfId="60" xr:uid="{06EA6F4F-5BA7-440D-B817-816A1F5412B0}"/>
    <cellStyle name="Moneda 2" xfId="51" xr:uid="{29FD6DF7-D9DD-4FD0-8431-8F5E6F355D46}"/>
    <cellStyle name="Moneda 3" xfId="52" xr:uid="{E992F64C-7026-4989-9103-F0D6A3891764}"/>
    <cellStyle name="Moneda 3 2" xfId="69" xr:uid="{A65656D4-3E92-46E6-A332-6359FADA9CD7}"/>
    <cellStyle name="Moneda 4" xfId="54" xr:uid="{6A9463FD-9245-4F59-B938-74B6FC56AC8C}"/>
    <cellStyle name="Moneda 4 2" xfId="72" xr:uid="{66C5F934-2452-44CC-8C38-25FB6CB0864A}"/>
    <cellStyle name="Moneda 5" xfId="74" xr:uid="{4B64D1B2-851D-4A8E-9055-58F32D2314DB}"/>
    <cellStyle name="Moneda 6" xfId="75" xr:uid="{B196927F-8B05-4714-A13A-FC6F82701488}"/>
    <cellStyle name="Moneda 7" xfId="76" xr:uid="{E7DAFC49-7138-4F35-A894-A7F89E481AD0}"/>
    <cellStyle name="Moneda 8" xfId="71" xr:uid="{5DF99286-C0FD-4480-A55A-3480A0B063DC}"/>
    <cellStyle name="Moneda 9" xfId="77" xr:uid="{FA1BDFDB-D96A-4439-A6FE-60A01DA77441}"/>
    <cellStyle name="Moneda 9 3 2" xfId="46" xr:uid="{5F26C816-210D-4138-A359-B22EE2E2977B}"/>
    <cellStyle name="Moneda 9 3 2 2" xfId="79" xr:uid="{5CD190E7-7A35-4B3B-ACA8-08B6EFD1D41B}"/>
    <cellStyle name="Moneda 9 3 2 3" xfId="68" xr:uid="{DB91F179-A680-46B6-9B07-704797B8648F}"/>
    <cellStyle name="Moneda 9 3 2 4" xfId="57" xr:uid="{A770A954-9872-46C0-B0B8-4CF54417165E}"/>
    <cellStyle name="Neutral" xfId="8" builtinId="28" customBuiltin="1"/>
    <cellStyle name="Neutral 2" xfId="61" xr:uid="{70B19122-9FDB-448F-AD04-B0903B755932}"/>
    <cellStyle name="Normal" xfId="0" builtinId="0"/>
    <cellStyle name="Normal 10" xfId="50" xr:uid="{21AD8EAE-74DD-4744-84F8-35CC8C8288D2}"/>
    <cellStyle name="Normal 12" xfId="49" xr:uid="{8D5030CC-6540-4A86-95E6-69AB647FC3CC}"/>
    <cellStyle name="Normal 2" xfId="44" xr:uid="{DEB6169A-F2D3-4121-9374-3ED0FC780E8F}"/>
    <cellStyle name="Normal 3" xfId="86" xr:uid="{06482624-803D-451E-99AC-4636213EDB76}"/>
    <cellStyle name="Normal 8" xfId="88" xr:uid="{3B87B1E1-7566-4FAD-88F5-FC8FD0A65E29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B0FA"/>
      <color rgb="FFF07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47625</xdr:rowOff>
    </xdr:from>
    <xdr:to>
      <xdr:col>2</xdr:col>
      <xdr:colOff>1104900</xdr:colOff>
      <xdr:row>4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1DF2F469-6FC1-40F6-AE72-0B84BEB6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952500" y="238125"/>
          <a:ext cx="2019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101600</xdr:colOff>
      <xdr:row>1</xdr:row>
      <xdr:rowOff>63500</xdr:rowOff>
    </xdr:from>
    <xdr:to>
      <xdr:col>0</xdr:col>
      <xdr:colOff>706718</xdr:colOff>
      <xdr:row>3</xdr:row>
      <xdr:rowOff>68730</xdr:rowOff>
    </xdr:to>
    <xdr:sp macro="" textlink="">
      <xdr:nvSpPr>
        <xdr:cNvPr id="3" name="Flecha: hacia l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DC56E-41F2-42E6-AADA-4017B4EE3001}"/>
            </a:ext>
            <a:ext uri="{147F2762-F138-4A5C-976F-8EAC2B608ADB}">
              <a16:predDERef xmlns:a16="http://schemas.microsoft.com/office/drawing/2014/main" pred="{1DF2F469-6FC1-40F6-AE72-0B84BEB67E38}"/>
            </a:ext>
          </a:extLst>
        </xdr:cNvPr>
        <xdr:cNvSpPr/>
      </xdr:nvSpPr>
      <xdr:spPr>
        <a:xfrm>
          <a:off x="101600" y="247650"/>
          <a:ext cx="605118" cy="373530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700"/>
            <a:t>VOLVER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F05D-AAA4-4CE3-969A-8938B9D44536}">
  <sheetPr>
    <tabColor theme="5" tint="0.79998168889431442"/>
  </sheetPr>
  <dimension ref="B1:AD74"/>
  <sheetViews>
    <sheetView showGridLines="0" tabSelected="1" zoomScale="70" zoomScaleNormal="70" workbookViewId="0">
      <pane xSplit="4" ySplit="8" topLeftCell="E9" activePane="bottomRight" state="frozen"/>
      <selection pane="topRight" activeCell="G1" sqref="G1"/>
      <selection pane="bottomLeft" activeCell="A9" sqref="A9"/>
      <selection pane="bottomRight" activeCell="D17" sqref="D17"/>
    </sheetView>
  </sheetViews>
  <sheetFormatPr baseColWidth="10" defaultColWidth="10.85546875" defaultRowHeight="15" x14ac:dyDescent="0.25"/>
  <cols>
    <col min="1" max="1" width="10.85546875" style="1"/>
    <col min="2" max="2" width="17.140625" style="1" customWidth="1"/>
    <col min="3" max="3" width="26.28515625" style="1" bestFit="1" customWidth="1"/>
    <col min="4" max="4" width="42.5703125" style="1" bestFit="1" customWidth="1"/>
    <col min="5" max="7" width="10.85546875" style="1" customWidth="1"/>
    <col min="8" max="8" width="10.85546875" style="1"/>
    <col min="12" max="12" width="10.85546875" style="1"/>
    <col min="17" max="17" width="13.42578125" customWidth="1"/>
    <col min="20" max="20" width="10.85546875" style="19"/>
    <col min="23" max="23" width="12.140625" customWidth="1"/>
    <col min="27" max="27" width="13.28515625" style="1" customWidth="1"/>
    <col min="28" max="28" width="13.140625" style="1" customWidth="1"/>
    <col min="29" max="16384" width="10.85546875" style="1"/>
  </cols>
  <sheetData>
    <row r="1" spans="2:30" x14ac:dyDescent="0.25">
      <c r="I1" s="1"/>
      <c r="J1" s="1"/>
      <c r="K1" s="1"/>
      <c r="M1" s="1"/>
      <c r="N1" s="1"/>
      <c r="O1" s="1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2:30" x14ac:dyDescent="0.25">
      <c r="I2" s="1"/>
      <c r="J2" s="1"/>
      <c r="K2" s="1"/>
      <c r="M2" s="1"/>
      <c r="N2" s="1"/>
      <c r="O2" s="1"/>
      <c r="P2" s="1"/>
      <c r="Q2" s="1"/>
      <c r="R2" s="1"/>
      <c r="S2" s="1"/>
      <c r="T2" s="3"/>
      <c r="U2" s="1"/>
      <c r="V2" s="1"/>
      <c r="W2" s="1"/>
      <c r="X2" s="1"/>
      <c r="Y2" s="1"/>
      <c r="Z2" s="1"/>
    </row>
    <row r="3" spans="2:30" ht="15" customHeight="1" thickBot="1" x14ac:dyDescent="0.3">
      <c r="I3" s="1"/>
      <c r="J3" s="1"/>
      <c r="K3" s="1"/>
      <c r="M3" s="1"/>
      <c r="N3" s="1"/>
      <c r="O3" s="1"/>
      <c r="P3" s="1"/>
      <c r="Q3" s="1"/>
      <c r="R3" s="1"/>
      <c r="S3" s="1"/>
      <c r="T3" s="3"/>
      <c r="U3" s="1"/>
      <c r="V3" s="1"/>
      <c r="W3" s="1"/>
      <c r="X3" s="1"/>
      <c r="Y3" s="1"/>
      <c r="Z3" s="1"/>
    </row>
    <row r="4" spans="2:30" x14ac:dyDescent="0.25">
      <c r="I4" s="1"/>
      <c r="J4" s="1"/>
      <c r="K4" s="1"/>
      <c r="M4" s="1"/>
      <c r="N4" s="1"/>
      <c r="O4" s="1"/>
      <c r="P4" s="1"/>
      <c r="Q4" s="1"/>
      <c r="R4" s="1"/>
      <c r="S4" s="1"/>
      <c r="T4" s="3"/>
      <c r="U4" s="1"/>
      <c r="V4" s="1"/>
      <c r="W4" s="1"/>
      <c r="X4" s="1"/>
      <c r="Y4" s="1"/>
      <c r="Z4" s="1"/>
      <c r="AC4" s="57" t="s">
        <v>27</v>
      </c>
      <c r="AD4" s="60" t="s">
        <v>28</v>
      </c>
    </row>
    <row r="5" spans="2:30" x14ac:dyDescent="0.25">
      <c r="I5" s="1"/>
      <c r="J5" s="1"/>
      <c r="K5" s="1"/>
      <c r="M5" s="1"/>
      <c r="N5" s="1"/>
      <c r="O5" s="1"/>
      <c r="P5" s="1"/>
      <c r="Q5" s="1"/>
      <c r="R5" s="1"/>
      <c r="S5" s="1"/>
      <c r="T5" s="3"/>
      <c r="U5" s="1"/>
      <c r="V5" s="1"/>
      <c r="W5" s="1"/>
      <c r="X5" s="1"/>
      <c r="Y5" s="1"/>
      <c r="Z5" s="1"/>
      <c r="AC5" s="58"/>
      <c r="AD5" s="61"/>
    </row>
    <row r="6" spans="2:30" ht="15.75" thickBot="1" x14ac:dyDescent="0.3">
      <c r="B6" s="51" t="s">
        <v>29</v>
      </c>
      <c r="C6" s="52"/>
      <c r="D6" s="52"/>
      <c r="I6" s="1"/>
      <c r="J6" s="1"/>
      <c r="K6" s="1"/>
      <c r="M6" s="1"/>
      <c r="N6" s="1"/>
      <c r="O6" s="1"/>
      <c r="P6" s="1"/>
      <c r="Q6" s="1"/>
      <c r="R6" s="1"/>
      <c r="S6" s="1"/>
      <c r="T6" s="3"/>
      <c r="U6" s="1"/>
      <c r="V6" s="1"/>
      <c r="W6" s="1"/>
      <c r="X6" s="1"/>
      <c r="Y6" s="1"/>
      <c r="Z6" s="1"/>
      <c r="AC6" s="59"/>
      <c r="AD6" s="62"/>
    </row>
    <row r="7" spans="2:30" ht="39.950000000000003" customHeight="1" thickBot="1" x14ac:dyDescent="0.3">
      <c r="B7" s="2" t="s">
        <v>30</v>
      </c>
      <c r="C7" s="2" t="s">
        <v>24</v>
      </c>
      <c r="D7" s="2" t="s">
        <v>0</v>
      </c>
      <c r="E7" s="11" t="s">
        <v>7</v>
      </c>
      <c r="F7" s="12" t="s">
        <v>5</v>
      </c>
      <c r="G7" s="12" t="s">
        <v>6</v>
      </c>
      <c r="H7" s="12" t="s">
        <v>4</v>
      </c>
      <c r="I7" s="12" t="s">
        <v>1</v>
      </c>
      <c r="J7" s="12" t="s">
        <v>2</v>
      </c>
      <c r="K7" s="12" t="s">
        <v>3</v>
      </c>
      <c r="L7" s="12" t="s">
        <v>5</v>
      </c>
      <c r="M7" s="12" t="s">
        <v>6</v>
      </c>
      <c r="N7" s="12" t="s">
        <v>4</v>
      </c>
      <c r="O7" s="12" t="s">
        <v>1</v>
      </c>
      <c r="P7" s="12" t="s">
        <v>2</v>
      </c>
      <c r="Q7" s="12" t="s">
        <v>7</v>
      </c>
      <c r="R7" s="12" t="s">
        <v>5</v>
      </c>
      <c r="S7" s="12" t="s">
        <v>6</v>
      </c>
      <c r="T7" s="12" t="s">
        <v>4</v>
      </c>
      <c r="U7" s="12" t="s">
        <v>1</v>
      </c>
      <c r="V7" s="12" t="s">
        <v>2</v>
      </c>
      <c r="W7" s="12" t="s">
        <v>7</v>
      </c>
      <c r="X7" s="12" t="s">
        <v>5</v>
      </c>
      <c r="Y7" s="12" t="s">
        <v>6</v>
      </c>
      <c r="Z7" s="12" t="s">
        <v>4</v>
      </c>
      <c r="AA7" s="53" t="s">
        <v>8</v>
      </c>
      <c r="AB7" s="55" t="s">
        <v>9</v>
      </c>
      <c r="AC7" s="5" t="s">
        <v>31</v>
      </c>
      <c r="AD7" s="4" t="s">
        <v>10</v>
      </c>
    </row>
    <row r="8" spans="2:30" x14ac:dyDescent="0.25">
      <c r="B8" s="6"/>
      <c r="C8" s="7"/>
      <c r="D8" s="7"/>
      <c r="E8" s="13">
        <v>45019</v>
      </c>
      <c r="F8" s="13">
        <v>45020</v>
      </c>
      <c r="G8" s="13">
        <v>45021</v>
      </c>
      <c r="H8" s="17" t="s">
        <v>11</v>
      </c>
      <c r="I8" s="13">
        <v>45026</v>
      </c>
      <c r="J8" s="13">
        <v>45027</v>
      </c>
      <c r="K8" s="13">
        <v>45028</v>
      </c>
      <c r="L8" s="13">
        <v>45029</v>
      </c>
      <c r="M8" s="13">
        <v>45030</v>
      </c>
      <c r="N8" s="17" t="s">
        <v>12</v>
      </c>
      <c r="O8" s="13">
        <v>45033</v>
      </c>
      <c r="P8" s="13">
        <v>45034</v>
      </c>
      <c r="Q8" s="13">
        <v>45035</v>
      </c>
      <c r="R8" s="13">
        <v>45036</v>
      </c>
      <c r="S8" s="13">
        <v>45037</v>
      </c>
      <c r="T8" s="17" t="s">
        <v>13</v>
      </c>
      <c r="U8" s="13">
        <v>45040</v>
      </c>
      <c r="V8" s="13">
        <v>45041</v>
      </c>
      <c r="W8" s="13">
        <v>45042</v>
      </c>
      <c r="X8" s="13">
        <v>45043</v>
      </c>
      <c r="Y8" s="13">
        <v>45044</v>
      </c>
      <c r="Z8" s="17" t="s">
        <v>14</v>
      </c>
      <c r="AA8" s="54"/>
      <c r="AB8" s="56"/>
      <c r="AC8" s="9" t="s">
        <v>15</v>
      </c>
      <c r="AD8" s="10" t="s">
        <v>16</v>
      </c>
    </row>
    <row r="9" spans="2:30" ht="15.75" x14ac:dyDescent="0.25">
      <c r="B9" s="23">
        <v>1032447625</v>
      </c>
      <c r="C9" s="8" t="s">
        <v>22</v>
      </c>
      <c r="D9" s="15" t="s">
        <v>23</v>
      </c>
      <c r="E9" s="22">
        <v>100</v>
      </c>
      <c r="F9" s="33">
        <v>66.67</v>
      </c>
      <c r="G9" s="27">
        <v>100</v>
      </c>
      <c r="H9" s="27">
        <v>100</v>
      </c>
      <c r="I9" s="32">
        <v>100</v>
      </c>
      <c r="J9" s="31">
        <v>66.67</v>
      </c>
      <c r="K9" s="31">
        <v>100</v>
      </c>
      <c r="L9" s="31">
        <v>100</v>
      </c>
      <c r="M9" s="31">
        <v>100</v>
      </c>
      <c r="N9" s="31">
        <v>85.71</v>
      </c>
      <c r="O9" s="31">
        <v>100</v>
      </c>
      <c r="P9" s="31">
        <v>100</v>
      </c>
      <c r="Q9" s="31">
        <v>66.67</v>
      </c>
      <c r="R9" s="31">
        <v>100</v>
      </c>
      <c r="S9" s="31">
        <v>97.5</v>
      </c>
      <c r="T9" s="31">
        <v>100</v>
      </c>
      <c r="U9" s="31">
        <v>100</v>
      </c>
      <c r="V9" s="31">
        <v>100</v>
      </c>
      <c r="W9" s="31">
        <v>100</v>
      </c>
      <c r="X9" s="31">
        <v>100</v>
      </c>
      <c r="Y9" s="32">
        <v>100</v>
      </c>
      <c r="Z9" s="48">
        <v>100</v>
      </c>
      <c r="AA9" s="21">
        <f t="shared" ref="AA9:AA55" si="0">AVERAGE(E9:G9,I9:M9,O9:S9,U9:Y9)</f>
        <v>94.306111111111107</v>
      </c>
      <c r="AB9" s="21">
        <f t="shared" ref="AB9:AB55" si="1">AVERAGE(H9,N9,T9,Z9)</f>
        <v>96.427499999999995</v>
      </c>
      <c r="AC9" s="21">
        <f>AB9</f>
        <v>96.427499999999995</v>
      </c>
      <c r="AD9" s="21">
        <f>(AA9*40%)+(AB9*60%)</f>
        <v>95.578944444444431</v>
      </c>
    </row>
    <row r="10" spans="2:30" ht="15.75" x14ac:dyDescent="0.25">
      <c r="B10" s="24">
        <v>1074556922</v>
      </c>
      <c r="C10" s="8" t="s">
        <v>22</v>
      </c>
      <c r="D10" s="15" t="s">
        <v>23</v>
      </c>
      <c r="E10" s="22">
        <v>100</v>
      </c>
      <c r="F10" s="33">
        <v>66.67</v>
      </c>
      <c r="G10" s="28">
        <v>100</v>
      </c>
      <c r="H10" s="28">
        <v>98.57</v>
      </c>
      <c r="I10" s="32">
        <v>100</v>
      </c>
      <c r="J10" s="31">
        <v>100</v>
      </c>
      <c r="K10" s="31">
        <v>69.7</v>
      </c>
      <c r="L10" s="31">
        <v>100</v>
      </c>
      <c r="M10" s="31">
        <v>97.5</v>
      </c>
      <c r="N10" s="31">
        <v>100</v>
      </c>
      <c r="O10" s="31">
        <v>66.67</v>
      </c>
      <c r="P10" s="31">
        <v>100</v>
      </c>
      <c r="Q10" s="31">
        <v>100</v>
      </c>
      <c r="R10" s="31">
        <v>100</v>
      </c>
      <c r="S10" s="31">
        <v>97.5</v>
      </c>
      <c r="T10" s="31">
        <v>100</v>
      </c>
      <c r="U10" s="31">
        <v>100</v>
      </c>
      <c r="V10" s="31">
        <v>100</v>
      </c>
      <c r="W10" s="31">
        <v>100</v>
      </c>
      <c r="X10" s="31">
        <v>100</v>
      </c>
      <c r="Y10" s="32">
        <v>100</v>
      </c>
      <c r="Z10" s="48">
        <v>100</v>
      </c>
      <c r="AA10" s="21">
        <f t="shared" si="0"/>
        <v>94.335555555555558</v>
      </c>
      <c r="AB10" s="21">
        <f t="shared" si="1"/>
        <v>99.642499999999998</v>
      </c>
      <c r="AC10" s="21">
        <f t="shared" ref="AC10:AC55" si="2">AB10</f>
        <v>99.642499999999998</v>
      </c>
      <c r="AD10" s="21">
        <f t="shared" ref="AD10:AD55" si="3">(AA10*40%)+(AB10*60%)</f>
        <v>97.519722222222214</v>
      </c>
    </row>
    <row r="11" spans="2:30" ht="15.75" x14ac:dyDescent="0.25">
      <c r="B11" s="25">
        <v>1023019194</v>
      </c>
      <c r="C11" s="8" t="s">
        <v>32</v>
      </c>
      <c r="D11" s="16" t="s">
        <v>33</v>
      </c>
      <c r="E11" s="22">
        <v>100</v>
      </c>
      <c r="F11" s="33">
        <v>100</v>
      </c>
      <c r="G11" s="28">
        <v>100</v>
      </c>
      <c r="H11" s="28">
        <v>100</v>
      </c>
      <c r="I11" s="32">
        <v>100</v>
      </c>
      <c r="J11" s="31">
        <v>100</v>
      </c>
      <c r="K11" s="31">
        <v>100</v>
      </c>
      <c r="L11" s="28" t="s">
        <v>18</v>
      </c>
      <c r="M11" s="31" t="s">
        <v>18</v>
      </c>
      <c r="N11" s="31" t="s">
        <v>18</v>
      </c>
      <c r="O11" s="31" t="s">
        <v>18</v>
      </c>
      <c r="P11" s="28" t="s">
        <v>18</v>
      </c>
      <c r="Q11" s="31" t="s">
        <v>18</v>
      </c>
      <c r="R11" s="28" t="s">
        <v>18</v>
      </c>
      <c r="S11" s="31" t="s">
        <v>18</v>
      </c>
      <c r="T11" s="31" t="s">
        <v>18</v>
      </c>
      <c r="U11" s="31" t="s">
        <v>18</v>
      </c>
      <c r="V11" s="28" t="s">
        <v>18</v>
      </c>
      <c r="W11" s="31" t="s">
        <v>18</v>
      </c>
      <c r="X11" s="31" t="s">
        <v>18</v>
      </c>
      <c r="Y11" s="32" t="s">
        <v>18</v>
      </c>
      <c r="Z11" s="33" t="s">
        <v>18</v>
      </c>
      <c r="AA11" s="21">
        <f t="shared" si="0"/>
        <v>100</v>
      </c>
      <c r="AB11" s="21">
        <f t="shared" si="1"/>
        <v>100</v>
      </c>
      <c r="AC11" s="21">
        <f t="shared" si="2"/>
        <v>100</v>
      </c>
      <c r="AD11" s="21">
        <f t="shared" si="3"/>
        <v>100</v>
      </c>
    </row>
    <row r="12" spans="2:30" ht="15.75" x14ac:dyDescent="0.25">
      <c r="B12" s="25">
        <v>1014234159</v>
      </c>
      <c r="C12" s="8" t="s">
        <v>32</v>
      </c>
      <c r="D12" s="16" t="s">
        <v>33</v>
      </c>
      <c r="E12" s="22">
        <v>100</v>
      </c>
      <c r="F12" s="33">
        <v>66.67</v>
      </c>
      <c r="G12" s="28">
        <v>100</v>
      </c>
      <c r="H12" s="28">
        <v>100</v>
      </c>
      <c r="I12" s="32" t="s">
        <v>20</v>
      </c>
      <c r="J12" s="31">
        <v>100</v>
      </c>
      <c r="K12" s="31">
        <v>100</v>
      </c>
      <c r="L12" s="28" t="s">
        <v>18</v>
      </c>
      <c r="M12" s="31" t="s">
        <v>18</v>
      </c>
      <c r="N12" s="31" t="s">
        <v>18</v>
      </c>
      <c r="O12" s="31" t="s">
        <v>18</v>
      </c>
      <c r="P12" s="28" t="s">
        <v>18</v>
      </c>
      <c r="Q12" s="31" t="s">
        <v>18</v>
      </c>
      <c r="R12" s="28" t="s">
        <v>18</v>
      </c>
      <c r="S12" s="31" t="s">
        <v>18</v>
      </c>
      <c r="T12" s="31" t="s">
        <v>18</v>
      </c>
      <c r="U12" s="31" t="s">
        <v>18</v>
      </c>
      <c r="V12" s="28" t="s">
        <v>18</v>
      </c>
      <c r="W12" s="31" t="s">
        <v>18</v>
      </c>
      <c r="X12" s="31" t="s">
        <v>18</v>
      </c>
      <c r="Y12" s="32" t="s">
        <v>18</v>
      </c>
      <c r="Z12" s="33" t="s">
        <v>18</v>
      </c>
      <c r="AA12" s="21">
        <f t="shared" si="0"/>
        <v>93.334000000000003</v>
      </c>
      <c r="AB12" s="21">
        <f t="shared" si="1"/>
        <v>100</v>
      </c>
      <c r="AC12" s="21">
        <f t="shared" si="2"/>
        <v>100</v>
      </c>
      <c r="AD12" s="21">
        <f t="shared" si="3"/>
        <v>97.333600000000004</v>
      </c>
    </row>
    <row r="13" spans="2:30" ht="15.75" x14ac:dyDescent="0.25">
      <c r="B13" s="25">
        <v>1090476688</v>
      </c>
      <c r="C13" s="8" t="s">
        <v>32</v>
      </c>
      <c r="D13" s="16" t="s">
        <v>33</v>
      </c>
      <c r="E13" s="22">
        <v>100</v>
      </c>
      <c r="F13" s="33">
        <v>100</v>
      </c>
      <c r="G13" s="28">
        <v>100</v>
      </c>
      <c r="H13" s="28">
        <v>100</v>
      </c>
      <c r="I13" s="32" t="s">
        <v>34</v>
      </c>
      <c r="J13" s="31" t="s">
        <v>20</v>
      </c>
      <c r="K13" s="28" t="s">
        <v>35</v>
      </c>
      <c r="L13" s="31">
        <v>100</v>
      </c>
      <c r="M13" s="31">
        <v>100</v>
      </c>
      <c r="N13" s="31">
        <v>85.71</v>
      </c>
      <c r="O13" s="31">
        <v>100</v>
      </c>
      <c r="P13" s="31">
        <v>100</v>
      </c>
      <c r="Q13" s="31">
        <v>100</v>
      </c>
      <c r="R13" s="31">
        <v>100</v>
      </c>
      <c r="S13" s="31">
        <v>100</v>
      </c>
      <c r="T13" s="31">
        <v>100</v>
      </c>
      <c r="U13" s="31">
        <v>100</v>
      </c>
      <c r="V13" s="31">
        <v>100</v>
      </c>
      <c r="W13" s="31">
        <v>100</v>
      </c>
      <c r="X13" s="31">
        <v>100</v>
      </c>
      <c r="Y13" s="32">
        <v>100</v>
      </c>
      <c r="Z13" s="48">
        <v>100</v>
      </c>
      <c r="AA13" s="21">
        <f t="shared" si="0"/>
        <v>100</v>
      </c>
      <c r="AB13" s="21">
        <f t="shared" si="1"/>
        <v>96.427499999999995</v>
      </c>
      <c r="AC13" s="21">
        <f t="shared" si="2"/>
        <v>96.427499999999995</v>
      </c>
      <c r="AD13" s="21">
        <f t="shared" si="3"/>
        <v>97.856499999999997</v>
      </c>
    </row>
    <row r="14" spans="2:30" ht="15.75" x14ac:dyDescent="0.25">
      <c r="B14" s="25">
        <v>1019043867</v>
      </c>
      <c r="C14" s="8" t="s">
        <v>32</v>
      </c>
      <c r="D14" s="16" t="s">
        <v>33</v>
      </c>
      <c r="E14" s="22">
        <v>100</v>
      </c>
      <c r="F14" s="33">
        <v>100</v>
      </c>
      <c r="G14" s="28">
        <v>100</v>
      </c>
      <c r="H14" s="28">
        <v>100</v>
      </c>
      <c r="I14" s="32">
        <v>100</v>
      </c>
      <c r="J14" s="31">
        <v>100</v>
      </c>
      <c r="K14" s="31">
        <v>100</v>
      </c>
      <c r="L14" s="28" t="s">
        <v>18</v>
      </c>
      <c r="M14" s="31" t="s">
        <v>18</v>
      </c>
      <c r="N14" s="31" t="s">
        <v>18</v>
      </c>
      <c r="O14" s="31" t="s">
        <v>18</v>
      </c>
      <c r="P14" s="28" t="s">
        <v>18</v>
      </c>
      <c r="Q14" s="31" t="s">
        <v>18</v>
      </c>
      <c r="R14" s="28" t="s">
        <v>18</v>
      </c>
      <c r="S14" s="31" t="s">
        <v>18</v>
      </c>
      <c r="T14" s="31" t="s">
        <v>18</v>
      </c>
      <c r="U14" s="31" t="s">
        <v>18</v>
      </c>
      <c r="V14" s="28" t="s">
        <v>18</v>
      </c>
      <c r="W14" s="31" t="s">
        <v>18</v>
      </c>
      <c r="X14" s="31" t="s">
        <v>18</v>
      </c>
      <c r="Y14" s="32" t="s">
        <v>18</v>
      </c>
      <c r="Z14" s="33" t="s">
        <v>18</v>
      </c>
      <c r="AA14" s="21">
        <f t="shared" si="0"/>
        <v>100</v>
      </c>
      <c r="AB14" s="21">
        <f t="shared" si="1"/>
        <v>100</v>
      </c>
      <c r="AC14" s="21">
        <f t="shared" si="2"/>
        <v>100</v>
      </c>
      <c r="AD14" s="21">
        <f t="shared" si="3"/>
        <v>100</v>
      </c>
    </row>
    <row r="15" spans="2:30" ht="15.75" x14ac:dyDescent="0.25">
      <c r="B15" s="25">
        <v>1014278906</v>
      </c>
      <c r="C15" s="8" t="s">
        <v>32</v>
      </c>
      <c r="D15" s="16" t="s">
        <v>33</v>
      </c>
      <c r="E15" s="22">
        <v>100</v>
      </c>
      <c r="F15" s="33">
        <v>100</v>
      </c>
      <c r="G15" s="28">
        <v>100</v>
      </c>
      <c r="H15" s="28">
        <v>95.92</v>
      </c>
      <c r="I15" s="32">
        <v>100</v>
      </c>
      <c r="J15" s="31">
        <v>100</v>
      </c>
      <c r="K15" s="31">
        <v>100</v>
      </c>
      <c r="L15" s="28" t="s">
        <v>18</v>
      </c>
      <c r="M15" s="31" t="s">
        <v>18</v>
      </c>
      <c r="N15" s="31" t="s">
        <v>18</v>
      </c>
      <c r="O15" s="31" t="s">
        <v>18</v>
      </c>
      <c r="P15" s="28" t="s">
        <v>18</v>
      </c>
      <c r="Q15" s="31" t="s">
        <v>18</v>
      </c>
      <c r="R15" s="28" t="s">
        <v>18</v>
      </c>
      <c r="S15" s="31" t="s">
        <v>18</v>
      </c>
      <c r="T15" s="31" t="s">
        <v>18</v>
      </c>
      <c r="U15" s="31" t="s">
        <v>18</v>
      </c>
      <c r="V15" s="28" t="s">
        <v>18</v>
      </c>
      <c r="W15" s="31" t="s">
        <v>18</v>
      </c>
      <c r="X15" s="31" t="s">
        <v>18</v>
      </c>
      <c r="Y15" s="32" t="s">
        <v>18</v>
      </c>
      <c r="Z15" s="33" t="s">
        <v>18</v>
      </c>
      <c r="AA15" s="21">
        <f t="shared" si="0"/>
        <v>100</v>
      </c>
      <c r="AB15" s="21">
        <f t="shared" si="1"/>
        <v>95.92</v>
      </c>
      <c r="AC15" s="21">
        <f t="shared" si="2"/>
        <v>95.92</v>
      </c>
      <c r="AD15" s="21">
        <f t="shared" si="3"/>
        <v>97.551999999999992</v>
      </c>
    </row>
    <row r="16" spans="2:30" ht="15.75" x14ac:dyDescent="0.25">
      <c r="B16" s="25">
        <v>1000694935</v>
      </c>
      <c r="C16" s="8" t="s">
        <v>32</v>
      </c>
      <c r="D16" s="16" t="s">
        <v>33</v>
      </c>
      <c r="E16" s="22">
        <v>100</v>
      </c>
      <c r="F16" s="33">
        <v>100</v>
      </c>
      <c r="G16" s="28">
        <v>100</v>
      </c>
      <c r="H16" s="28">
        <v>100</v>
      </c>
      <c r="I16" s="32">
        <v>100</v>
      </c>
      <c r="J16" s="31">
        <v>100</v>
      </c>
      <c r="K16" s="31">
        <v>100</v>
      </c>
      <c r="L16" s="31">
        <v>100</v>
      </c>
      <c r="M16" s="31" t="s">
        <v>20</v>
      </c>
      <c r="N16" s="31">
        <v>82.14</v>
      </c>
      <c r="O16" s="31">
        <v>100</v>
      </c>
      <c r="P16" s="31">
        <v>100</v>
      </c>
      <c r="Q16" s="31">
        <v>100</v>
      </c>
      <c r="R16" s="31">
        <v>100</v>
      </c>
      <c r="S16" s="31">
        <v>100</v>
      </c>
      <c r="T16" s="31">
        <v>100</v>
      </c>
      <c r="U16" s="31">
        <v>100</v>
      </c>
      <c r="V16" s="31">
        <v>100</v>
      </c>
      <c r="W16" s="31">
        <v>100</v>
      </c>
      <c r="X16" s="31">
        <v>100</v>
      </c>
      <c r="Y16" s="32">
        <v>100</v>
      </c>
      <c r="Z16" s="48">
        <v>93.75</v>
      </c>
      <c r="AA16" s="21">
        <f t="shared" si="0"/>
        <v>100</v>
      </c>
      <c r="AB16" s="21">
        <f t="shared" si="1"/>
        <v>93.972499999999997</v>
      </c>
      <c r="AC16" s="21">
        <f t="shared" si="2"/>
        <v>93.972499999999997</v>
      </c>
      <c r="AD16" s="21">
        <f t="shared" si="3"/>
        <v>96.383499999999998</v>
      </c>
    </row>
    <row r="17" spans="2:30" ht="15.75" x14ac:dyDescent="0.25">
      <c r="B17" s="25">
        <v>52222475</v>
      </c>
      <c r="C17" s="8" t="s">
        <v>32</v>
      </c>
      <c r="D17" s="16" t="s">
        <v>33</v>
      </c>
      <c r="E17" s="22">
        <v>100</v>
      </c>
      <c r="F17" s="33">
        <v>66.67</v>
      </c>
      <c r="G17" s="28">
        <v>100</v>
      </c>
      <c r="H17" s="28">
        <v>97.96</v>
      </c>
      <c r="I17" s="32">
        <v>100</v>
      </c>
      <c r="J17" s="31">
        <v>100</v>
      </c>
      <c r="K17" s="31">
        <v>100</v>
      </c>
      <c r="L17" s="28" t="s">
        <v>18</v>
      </c>
      <c r="M17" s="31" t="s">
        <v>18</v>
      </c>
      <c r="N17" s="31" t="s">
        <v>18</v>
      </c>
      <c r="O17" s="31" t="s">
        <v>18</v>
      </c>
      <c r="P17" s="28" t="s">
        <v>18</v>
      </c>
      <c r="Q17" s="31" t="s">
        <v>18</v>
      </c>
      <c r="R17" s="28" t="s">
        <v>18</v>
      </c>
      <c r="S17" s="31" t="s">
        <v>18</v>
      </c>
      <c r="T17" s="31" t="s">
        <v>18</v>
      </c>
      <c r="U17" s="31" t="s">
        <v>18</v>
      </c>
      <c r="V17" s="28" t="s">
        <v>18</v>
      </c>
      <c r="W17" s="31" t="s">
        <v>18</v>
      </c>
      <c r="X17" s="31" t="s">
        <v>18</v>
      </c>
      <c r="Y17" s="32" t="s">
        <v>18</v>
      </c>
      <c r="Z17" s="33" t="s">
        <v>18</v>
      </c>
      <c r="AA17" s="21">
        <f t="shared" si="0"/>
        <v>94.445000000000007</v>
      </c>
      <c r="AB17" s="21">
        <f t="shared" si="1"/>
        <v>97.96</v>
      </c>
      <c r="AC17" s="21">
        <f t="shared" si="2"/>
        <v>97.96</v>
      </c>
      <c r="AD17" s="21">
        <f t="shared" si="3"/>
        <v>96.554000000000002</v>
      </c>
    </row>
    <row r="18" spans="2:30" ht="15.75" x14ac:dyDescent="0.25">
      <c r="B18" s="25">
        <v>1019150662</v>
      </c>
      <c r="C18" s="8" t="s">
        <v>32</v>
      </c>
      <c r="D18" s="16" t="s">
        <v>33</v>
      </c>
      <c r="E18" s="22">
        <v>77.78</v>
      </c>
      <c r="F18" s="33">
        <v>100</v>
      </c>
      <c r="G18" s="28">
        <v>100</v>
      </c>
      <c r="H18" s="28">
        <v>91.84</v>
      </c>
      <c r="I18" s="32">
        <v>100</v>
      </c>
      <c r="J18" s="31">
        <v>100</v>
      </c>
      <c r="K18" s="31">
        <v>100</v>
      </c>
      <c r="L18" s="31">
        <v>100</v>
      </c>
      <c r="M18" s="31">
        <v>100</v>
      </c>
      <c r="N18" s="31">
        <v>85.71</v>
      </c>
      <c r="O18" s="31">
        <v>100</v>
      </c>
      <c r="P18" s="31">
        <v>100</v>
      </c>
      <c r="Q18" s="31" t="s">
        <v>19</v>
      </c>
      <c r="R18" s="28" t="s">
        <v>19</v>
      </c>
      <c r="S18" s="31">
        <v>95</v>
      </c>
      <c r="T18" s="31">
        <v>100</v>
      </c>
      <c r="U18" s="31">
        <v>100</v>
      </c>
      <c r="V18" s="31">
        <v>100</v>
      </c>
      <c r="W18" s="31">
        <v>100</v>
      </c>
      <c r="X18" s="31">
        <v>100</v>
      </c>
      <c r="Y18" s="32">
        <v>100</v>
      </c>
      <c r="Z18" s="48">
        <v>100</v>
      </c>
      <c r="AA18" s="21">
        <f t="shared" si="0"/>
        <v>98.298749999999998</v>
      </c>
      <c r="AB18" s="21">
        <f t="shared" si="1"/>
        <v>94.387500000000003</v>
      </c>
      <c r="AC18" s="21">
        <f t="shared" si="2"/>
        <v>94.387500000000003</v>
      </c>
      <c r="AD18" s="21">
        <f t="shared" si="3"/>
        <v>95.951999999999998</v>
      </c>
    </row>
    <row r="19" spans="2:30" ht="15.75" x14ac:dyDescent="0.25">
      <c r="B19" s="25">
        <v>1003711007</v>
      </c>
      <c r="C19" s="8" t="s">
        <v>32</v>
      </c>
      <c r="D19" s="16" t="s">
        <v>33</v>
      </c>
      <c r="E19" s="22">
        <v>100</v>
      </c>
      <c r="F19" s="33">
        <v>100</v>
      </c>
      <c r="G19" s="28">
        <v>100</v>
      </c>
      <c r="H19" s="28">
        <v>90.41</v>
      </c>
      <c r="I19" s="32">
        <v>100</v>
      </c>
      <c r="J19" s="31">
        <v>100</v>
      </c>
      <c r="K19" s="31">
        <v>100</v>
      </c>
      <c r="L19" s="31">
        <v>100</v>
      </c>
      <c r="M19" s="31">
        <v>100</v>
      </c>
      <c r="N19" s="31">
        <v>70.709999999999994</v>
      </c>
      <c r="O19" s="31">
        <v>100</v>
      </c>
      <c r="P19" s="31">
        <v>100</v>
      </c>
      <c r="Q19" s="31">
        <v>100</v>
      </c>
      <c r="R19" s="31">
        <v>100</v>
      </c>
      <c r="S19" s="31">
        <v>97.5</v>
      </c>
      <c r="T19" s="31">
        <v>100</v>
      </c>
      <c r="U19" s="31">
        <v>100</v>
      </c>
      <c r="V19" s="31">
        <v>100</v>
      </c>
      <c r="W19" s="31">
        <v>100</v>
      </c>
      <c r="X19" s="31">
        <v>100</v>
      </c>
      <c r="Y19" s="32">
        <v>97.5</v>
      </c>
      <c r="Z19" s="48">
        <v>100</v>
      </c>
      <c r="AA19" s="21">
        <f t="shared" si="0"/>
        <v>99.722222222222229</v>
      </c>
      <c r="AB19" s="21">
        <f t="shared" si="1"/>
        <v>90.28</v>
      </c>
      <c r="AC19" s="21">
        <f t="shared" si="2"/>
        <v>90.28</v>
      </c>
      <c r="AD19" s="21">
        <f t="shared" si="3"/>
        <v>94.056888888888892</v>
      </c>
    </row>
    <row r="20" spans="2:30" ht="15.75" x14ac:dyDescent="0.25">
      <c r="B20" s="25">
        <v>1000121580</v>
      </c>
      <c r="C20" s="8" t="s">
        <v>32</v>
      </c>
      <c r="D20" s="16" t="s">
        <v>33</v>
      </c>
      <c r="E20" s="22">
        <v>100</v>
      </c>
      <c r="F20" s="33">
        <v>100</v>
      </c>
      <c r="G20" s="28">
        <v>100</v>
      </c>
      <c r="H20" s="28">
        <v>91.84</v>
      </c>
      <c r="I20" s="32">
        <v>100</v>
      </c>
      <c r="J20" s="31">
        <v>100</v>
      </c>
      <c r="K20" s="31">
        <v>100</v>
      </c>
      <c r="L20" s="31">
        <v>100</v>
      </c>
      <c r="M20" s="31">
        <v>100</v>
      </c>
      <c r="N20" s="31">
        <v>85.71</v>
      </c>
      <c r="O20" s="31">
        <v>100</v>
      </c>
      <c r="P20" s="31">
        <v>100</v>
      </c>
      <c r="Q20" s="31">
        <v>100</v>
      </c>
      <c r="R20" s="31">
        <v>100</v>
      </c>
      <c r="S20" s="31">
        <v>95</v>
      </c>
      <c r="T20" s="31">
        <v>100</v>
      </c>
      <c r="U20" s="31">
        <v>87.5</v>
      </c>
      <c r="V20" s="31">
        <v>100</v>
      </c>
      <c r="W20" s="31">
        <v>100</v>
      </c>
      <c r="X20" s="31">
        <v>100</v>
      </c>
      <c r="Y20" s="32">
        <v>100</v>
      </c>
      <c r="Z20" s="48">
        <v>100</v>
      </c>
      <c r="AA20" s="21">
        <f t="shared" si="0"/>
        <v>99.027777777777771</v>
      </c>
      <c r="AB20" s="21">
        <f t="shared" si="1"/>
        <v>94.387500000000003</v>
      </c>
      <c r="AC20" s="21">
        <f t="shared" si="2"/>
        <v>94.387500000000003</v>
      </c>
      <c r="AD20" s="21">
        <f t="shared" si="3"/>
        <v>96.243611111111107</v>
      </c>
    </row>
    <row r="21" spans="2:30" ht="15.75" x14ac:dyDescent="0.25">
      <c r="B21" s="25">
        <v>39677548</v>
      </c>
      <c r="C21" s="8" t="s">
        <v>32</v>
      </c>
      <c r="D21" s="16" t="s">
        <v>33</v>
      </c>
      <c r="E21" s="22">
        <v>100</v>
      </c>
      <c r="F21" s="33">
        <v>100</v>
      </c>
      <c r="G21" s="28">
        <v>100</v>
      </c>
      <c r="H21" s="28">
        <v>100</v>
      </c>
      <c r="I21" s="32">
        <v>100</v>
      </c>
      <c r="J21" s="31">
        <v>100</v>
      </c>
      <c r="K21" s="31">
        <v>100</v>
      </c>
      <c r="L21" s="31">
        <v>100</v>
      </c>
      <c r="M21" s="31">
        <v>100</v>
      </c>
      <c r="N21" s="31">
        <v>100</v>
      </c>
      <c r="O21" s="31">
        <v>100</v>
      </c>
      <c r="P21" s="31">
        <v>100</v>
      </c>
      <c r="Q21" s="31">
        <v>100</v>
      </c>
      <c r="R21" s="31">
        <v>100</v>
      </c>
      <c r="S21" s="31">
        <v>100</v>
      </c>
      <c r="T21" s="31">
        <v>57.14</v>
      </c>
      <c r="U21" s="31">
        <v>100</v>
      </c>
      <c r="V21" s="31">
        <v>100</v>
      </c>
      <c r="W21" s="31">
        <v>100</v>
      </c>
      <c r="X21" s="31">
        <v>100</v>
      </c>
      <c r="Y21" s="32">
        <v>100</v>
      </c>
      <c r="Z21" s="48">
        <v>100</v>
      </c>
      <c r="AA21" s="21">
        <f t="shared" si="0"/>
        <v>100</v>
      </c>
      <c r="AB21" s="21">
        <f t="shared" si="1"/>
        <v>89.284999999999997</v>
      </c>
      <c r="AC21" s="21">
        <f t="shared" si="2"/>
        <v>89.284999999999997</v>
      </c>
      <c r="AD21" s="21">
        <f t="shared" si="3"/>
        <v>93.570999999999998</v>
      </c>
    </row>
    <row r="22" spans="2:30" ht="15.75" x14ac:dyDescent="0.25">
      <c r="B22" s="25">
        <v>1013692526</v>
      </c>
      <c r="C22" s="8" t="s">
        <v>32</v>
      </c>
      <c r="D22" s="16" t="s">
        <v>33</v>
      </c>
      <c r="E22" s="22">
        <v>100</v>
      </c>
      <c r="F22" s="33">
        <v>100</v>
      </c>
      <c r="G22" s="28">
        <v>100</v>
      </c>
      <c r="H22" s="28">
        <v>91.84</v>
      </c>
      <c r="I22" s="32">
        <v>100</v>
      </c>
      <c r="J22" s="31">
        <v>100</v>
      </c>
      <c r="K22" s="31">
        <v>100</v>
      </c>
      <c r="L22" s="31">
        <v>100</v>
      </c>
      <c r="M22" s="31">
        <v>100</v>
      </c>
      <c r="N22" s="31">
        <v>85.71</v>
      </c>
      <c r="O22" s="31">
        <v>100</v>
      </c>
      <c r="P22" s="31">
        <v>100</v>
      </c>
      <c r="Q22" s="31">
        <v>100</v>
      </c>
      <c r="R22" s="31">
        <v>100</v>
      </c>
      <c r="S22" s="31" t="s">
        <v>20</v>
      </c>
      <c r="T22" s="31">
        <v>100</v>
      </c>
      <c r="U22" s="31">
        <v>100</v>
      </c>
      <c r="V22" s="31">
        <v>100</v>
      </c>
      <c r="W22" s="31">
        <v>100</v>
      </c>
      <c r="X22" s="31">
        <v>100</v>
      </c>
      <c r="Y22" s="32">
        <v>100</v>
      </c>
      <c r="Z22" s="48">
        <v>100</v>
      </c>
      <c r="AA22" s="21">
        <f t="shared" si="0"/>
        <v>100</v>
      </c>
      <c r="AB22" s="21">
        <f t="shared" si="1"/>
        <v>94.387500000000003</v>
      </c>
      <c r="AC22" s="21">
        <f t="shared" si="2"/>
        <v>94.387500000000003</v>
      </c>
      <c r="AD22" s="21">
        <f t="shared" si="3"/>
        <v>96.632499999999993</v>
      </c>
    </row>
    <row r="23" spans="2:30" ht="15.75" x14ac:dyDescent="0.25">
      <c r="B23" s="25">
        <v>43567145</v>
      </c>
      <c r="C23" s="8" t="s">
        <v>32</v>
      </c>
      <c r="D23" s="14" t="s">
        <v>33</v>
      </c>
      <c r="E23" s="34" t="s">
        <v>20</v>
      </c>
      <c r="F23" s="33">
        <v>100</v>
      </c>
      <c r="G23" s="28">
        <v>75</v>
      </c>
      <c r="H23" s="28">
        <v>97.96</v>
      </c>
      <c r="I23" s="32">
        <v>100</v>
      </c>
      <c r="J23" s="31">
        <v>66.67</v>
      </c>
      <c r="K23" s="31">
        <v>100</v>
      </c>
      <c r="L23" s="31">
        <v>97.22</v>
      </c>
      <c r="M23" s="31">
        <v>100</v>
      </c>
      <c r="N23" s="31">
        <v>100</v>
      </c>
      <c r="O23" s="31">
        <v>100</v>
      </c>
      <c r="P23" s="31">
        <v>100</v>
      </c>
      <c r="Q23" s="31">
        <v>100</v>
      </c>
      <c r="R23" s="31">
        <v>100</v>
      </c>
      <c r="S23" s="31">
        <v>97.5</v>
      </c>
      <c r="T23" s="31">
        <v>100</v>
      </c>
      <c r="U23" s="31">
        <v>100</v>
      </c>
      <c r="V23" s="31">
        <v>100</v>
      </c>
      <c r="W23" s="31">
        <v>100</v>
      </c>
      <c r="X23" s="31">
        <v>100</v>
      </c>
      <c r="Y23" s="32">
        <v>100</v>
      </c>
      <c r="Z23" s="48">
        <v>100</v>
      </c>
      <c r="AA23" s="21">
        <f t="shared" si="0"/>
        <v>96.25823529411764</v>
      </c>
      <c r="AB23" s="21">
        <f t="shared" si="1"/>
        <v>99.49</v>
      </c>
      <c r="AC23" s="21">
        <f t="shared" si="2"/>
        <v>99.49</v>
      </c>
      <c r="AD23" s="21">
        <f t="shared" si="3"/>
        <v>98.197294117647061</v>
      </c>
    </row>
    <row r="24" spans="2:30" ht="15.75" x14ac:dyDescent="0.25">
      <c r="B24" s="25">
        <v>1130590262</v>
      </c>
      <c r="C24" s="8" t="s">
        <v>32</v>
      </c>
      <c r="D24" s="14" t="s">
        <v>33</v>
      </c>
      <c r="E24" s="22">
        <v>100</v>
      </c>
      <c r="F24" s="33">
        <v>100</v>
      </c>
      <c r="G24" s="28">
        <v>100</v>
      </c>
      <c r="H24" s="28">
        <v>100</v>
      </c>
      <c r="I24" s="32">
        <v>100</v>
      </c>
      <c r="J24" s="31">
        <v>100</v>
      </c>
      <c r="K24" s="31">
        <v>100</v>
      </c>
      <c r="L24" s="31">
        <v>100</v>
      </c>
      <c r="M24" s="31">
        <v>100</v>
      </c>
      <c r="N24" s="31">
        <v>100</v>
      </c>
      <c r="O24" s="31">
        <v>100</v>
      </c>
      <c r="P24" s="31">
        <v>83.33</v>
      </c>
      <c r="Q24" s="31">
        <v>100</v>
      </c>
      <c r="R24" s="31">
        <v>100</v>
      </c>
      <c r="S24" s="31">
        <v>100</v>
      </c>
      <c r="T24" s="31">
        <v>100</v>
      </c>
      <c r="U24" s="31">
        <v>100</v>
      </c>
      <c r="V24" s="28" t="s">
        <v>19</v>
      </c>
      <c r="W24" s="31" t="s">
        <v>19</v>
      </c>
      <c r="X24" s="31">
        <v>100</v>
      </c>
      <c r="Y24" s="32">
        <v>100</v>
      </c>
      <c r="Z24" s="33" t="s">
        <v>19</v>
      </c>
      <c r="AA24" s="21">
        <f t="shared" si="0"/>
        <v>98.958124999999995</v>
      </c>
      <c r="AB24" s="21">
        <f t="shared" si="1"/>
        <v>100</v>
      </c>
      <c r="AC24" s="21">
        <f t="shared" si="2"/>
        <v>100</v>
      </c>
      <c r="AD24" s="21">
        <f t="shared" si="3"/>
        <v>99.583249999999992</v>
      </c>
    </row>
    <row r="25" spans="2:30" ht="15.75" x14ac:dyDescent="0.25">
      <c r="B25" s="25">
        <v>40610719</v>
      </c>
      <c r="C25" s="8" t="s">
        <v>32</v>
      </c>
      <c r="D25" s="14" t="s">
        <v>33</v>
      </c>
      <c r="E25" s="22">
        <v>100</v>
      </c>
      <c r="F25" s="33">
        <v>100</v>
      </c>
      <c r="G25" s="28">
        <v>100</v>
      </c>
      <c r="H25" s="28">
        <v>100</v>
      </c>
      <c r="I25" s="32" t="s">
        <v>20</v>
      </c>
      <c r="J25" s="31">
        <v>100</v>
      </c>
      <c r="K25" s="31">
        <v>100</v>
      </c>
      <c r="L25" s="31">
        <v>100</v>
      </c>
      <c r="M25" s="31">
        <v>100</v>
      </c>
      <c r="N25" s="31">
        <v>92.86</v>
      </c>
      <c r="O25" s="31">
        <v>100</v>
      </c>
      <c r="P25" s="31">
        <v>100</v>
      </c>
      <c r="Q25" s="31">
        <v>100</v>
      </c>
      <c r="R25" s="31">
        <v>100</v>
      </c>
      <c r="S25" s="31">
        <v>100</v>
      </c>
      <c r="T25" s="31">
        <v>100</v>
      </c>
      <c r="U25" s="31">
        <v>100</v>
      </c>
      <c r="V25" s="31">
        <v>100</v>
      </c>
      <c r="W25" s="31">
        <v>100</v>
      </c>
      <c r="X25" s="31">
        <v>100</v>
      </c>
      <c r="Y25" s="32">
        <v>100</v>
      </c>
      <c r="Z25" s="48">
        <v>100</v>
      </c>
      <c r="AA25" s="21">
        <f t="shared" si="0"/>
        <v>100</v>
      </c>
      <c r="AB25" s="21">
        <f t="shared" si="1"/>
        <v>98.215000000000003</v>
      </c>
      <c r="AC25" s="21">
        <f t="shared" si="2"/>
        <v>98.215000000000003</v>
      </c>
      <c r="AD25" s="21">
        <f t="shared" si="3"/>
        <v>98.929000000000002</v>
      </c>
    </row>
    <row r="26" spans="2:30" ht="15.75" x14ac:dyDescent="0.25">
      <c r="B26" s="25">
        <v>1017126808</v>
      </c>
      <c r="C26" s="8" t="s">
        <v>32</v>
      </c>
      <c r="D26" s="14" t="s">
        <v>33</v>
      </c>
      <c r="E26" s="22">
        <v>100</v>
      </c>
      <c r="F26" s="33">
        <v>100</v>
      </c>
      <c r="G26" s="28">
        <v>100</v>
      </c>
      <c r="H26" s="28">
        <v>97.96</v>
      </c>
      <c r="I26" s="32">
        <v>100</v>
      </c>
      <c r="J26" s="31">
        <v>66.67</v>
      </c>
      <c r="K26" s="31">
        <v>100</v>
      </c>
      <c r="L26" s="31">
        <v>100</v>
      </c>
      <c r="M26" s="31">
        <v>100</v>
      </c>
      <c r="N26" s="31">
        <v>100</v>
      </c>
      <c r="O26" s="31">
        <v>100</v>
      </c>
      <c r="P26" s="31">
        <v>100</v>
      </c>
      <c r="Q26" s="31">
        <v>100</v>
      </c>
      <c r="R26" s="31">
        <v>100</v>
      </c>
      <c r="S26" s="31">
        <v>97.5</v>
      </c>
      <c r="T26" s="31">
        <v>100</v>
      </c>
      <c r="U26" s="31">
        <v>100</v>
      </c>
      <c r="V26" s="31">
        <v>100</v>
      </c>
      <c r="W26" s="31">
        <v>100</v>
      </c>
      <c r="X26" s="31">
        <v>100</v>
      </c>
      <c r="Y26" s="32">
        <v>100</v>
      </c>
      <c r="Z26" s="48">
        <v>100</v>
      </c>
      <c r="AA26" s="21">
        <f t="shared" si="0"/>
        <v>98.009444444444455</v>
      </c>
      <c r="AB26" s="21">
        <f t="shared" si="1"/>
        <v>99.49</v>
      </c>
      <c r="AC26" s="21">
        <f t="shared" si="2"/>
        <v>99.49</v>
      </c>
      <c r="AD26" s="21">
        <f t="shared" si="3"/>
        <v>98.897777777777776</v>
      </c>
    </row>
    <row r="27" spans="2:30" ht="15.75" x14ac:dyDescent="0.25">
      <c r="B27" s="25">
        <v>1152452763</v>
      </c>
      <c r="C27" s="8" t="s">
        <v>32</v>
      </c>
      <c r="D27" s="14" t="s">
        <v>33</v>
      </c>
      <c r="E27" s="22">
        <v>100</v>
      </c>
      <c r="F27" s="33">
        <v>100</v>
      </c>
      <c r="G27" s="28">
        <v>100</v>
      </c>
      <c r="H27" s="28">
        <v>95.92</v>
      </c>
      <c r="I27" s="32">
        <v>100</v>
      </c>
      <c r="J27" s="31">
        <v>100</v>
      </c>
      <c r="K27" s="31">
        <v>100</v>
      </c>
      <c r="L27" s="31">
        <v>100</v>
      </c>
      <c r="M27" s="31">
        <v>100</v>
      </c>
      <c r="N27" s="31">
        <v>96.43</v>
      </c>
      <c r="O27" s="31">
        <v>100</v>
      </c>
      <c r="P27" s="31">
        <v>100</v>
      </c>
      <c r="Q27" s="31">
        <v>100</v>
      </c>
      <c r="R27" s="31">
        <v>100</v>
      </c>
      <c r="S27" s="31">
        <v>100</v>
      </c>
      <c r="T27" s="31">
        <v>100</v>
      </c>
      <c r="U27" s="31">
        <v>100</v>
      </c>
      <c r="V27" s="31">
        <v>100</v>
      </c>
      <c r="W27" s="31">
        <v>100</v>
      </c>
      <c r="X27" s="31">
        <v>100</v>
      </c>
      <c r="Y27" s="32">
        <v>100</v>
      </c>
      <c r="Z27" s="48">
        <v>100</v>
      </c>
      <c r="AA27" s="21">
        <f t="shared" si="0"/>
        <v>100</v>
      </c>
      <c r="AB27" s="21">
        <f t="shared" si="1"/>
        <v>98.087500000000006</v>
      </c>
      <c r="AC27" s="21">
        <f t="shared" si="2"/>
        <v>98.087500000000006</v>
      </c>
      <c r="AD27" s="21">
        <f t="shared" si="3"/>
        <v>98.852499999999992</v>
      </c>
    </row>
    <row r="28" spans="2:30" ht="15.75" x14ac:dyDescent="0.25">
      <c r="B28" s="25">
        <v>1012440522</v>
      </c>
      <c r="C28" s="8" t="s">
        <v>32</v>
      </c>
      <c r="D28" s="16" t="s">
        <v>33</v>
      </c>
      <c r="E28" s="22">
        <v>100</v>
      </c>
      <c r="F28" s="33">
        <v>100</v>
      </c>
      <c r="G28" s="28">
        <v>100</v>
      </c>
      <c r="H28" s="28">
        <v>85.71</v>
      </c>
      <c r="I28" s="32">
        <v>100</v>
      </c>
      <c r="J28" s="31">
        <v>100</v>
      </c>
      <c r="K28" s="31">
        <v>100</v>
      </c>
      <c r="L28" s="31">
        <v>100</v>
      </c>
      <c r="M28" s="31">
        <v>97.5</v>
      </c>
      <c r="N28" s="31">
        <v>100</v>
      </c>
      <c r="O28" s="31">
        <v>100</v>
      </c>
      <c r="P28" s="31">
        <v>100</v>
      </c>
      <c r="Q28" s="31">
        <v>100</v>
      </c>
      <c r="R28" s="31">
        <v>100</v>
      </c>
      <c r="S28" s="31">
        <v>100</v>
      </c>
      <c r="T28" s="31">
        <v>100</v>
      </c>
      <c r="U28" s="31">
        <v>100</v>
      </c>
      <c r="V28" s="31">
        <v>100</v>
      </c>
      <c r="W28" s="31">
        <v>100</v>
      </c>
      <c r="X28" s="31">
        <v>100</v>
      </c>
      <c r="Y28" s="32">
        <v>100</v>
      </c>
      <c r="Z28" s="48">
        <v>100</v>
      </c>
      <c r="AA28" s="21">
        <f t="shared" si="0"/>
        <v>99.861111111111114</v>
      </c>
      <c r="AB28" s="21">
        <f t="shared" si="1"/>
        <v>96.427499999999995</v>
      </c>
      <c r="AC28" s="21">
        <f t="shared" si="2"/>
        <v>96.427499999999995</v>
      </c>
      <c r="AD28" s="21">
        <f t="shared" si="3"/>
        <v>97.80094444444444</v>
      </c>
    </row>
    <row r="29" spans="2:30" ht="15.75" x14ac:dyDescent="0.25">
      <c r="B29" s="25">
        <v>1001328960</v>
      </c>
      <c r="C29" s="8" t="s">
        <v>32</v>
      </c>
      <c r="D29" s="14" t="s">
        <v>33</v>
      </c>
      <c r="E29" s="22">
        <v>100</v>
      </c>
      <c r="F29" s="33">
        <v>100</v>
      </c>
      <c r="G29" s="28">
        <v>100</v>
      </c>
      <c r="H29" s="31">
        <v>81.63</v>
      </c>
      <c r="I29" s="32">
        <v>100</v>
      </c>
      <c r="J29" s="31">
        <v>100</v>
      </c>
      <c r="K29" s="31">
        <v>100</v>
      </c>
      <c r="L29" s="31">
        <v>100</v>
      </c>
      <c r="M29" s="31">
        <v>100</v>
      </c>
      <c r="N29" s="31">
        <v>100</v>
      </c>
      <c r="O29" s="31">
        <v>100</v>
      </c>
      <c r="P29" s="31">
        <v>100</v>
      </c>
      <c r="Q29" s="31" t="s">
        <v>18</v>
      </c>
      <c r="R29" s="28" t="s">
        <v>18</v>
      </c>
      <c r="S29" s="31" t="s">
        <v>18</v>
      </c>
      <c r="T29" s="31" t="s">
        <v>18</v>
      </c>
      <c r="U29" s="31">
        <v>100</v>
      </c>
      <c r="V29" s="28" t="s">
        <v>18</v>
      </c>
      <c r="W29" s="31" t="s">
        <v>18</v>
      </c>
      <c r="X29" s="31" t="s">
        <v>18</v>
      </c>
      <c r="Y29" s="32" t="s">
        <v>18</v>
      </c>
      <c r="Z29" s="33" t="s">
        <v>18</v>
      </c>
      <c r="AA29" s="21">
        <f t="shared" si="0"/>
        <v>100</v>
      </c>
      <c r="AB29" s="21">
        <f t="shared" si="1"/>
        <v>90.814999999999998</v>
      </c>
      <c r="AC29" s="21">
        <f t="shared" si="2"/>
        <v>90.814999999999998</v>
      </c>
      <c r="AD29" s="21">
        <f t="shared" si="3"/>
        <v>94.489000000000004</v>
      </c>
    </row>
    <row r="30" spans="2:30" ht="15.75" x14ac:dyDescent="0.25">
      <c r="B30" s="25">
        <v>1000252417</v>
      </c>
      <c r="C30" s="8" t="s">
        <v>32</v>
      </c>
      <c r="D30" s="14" t="s">
        <v>33</v>
      </c>
      <c r="E30" s="34" t="s">
        <v>17</v>
      </c>
      <c r="F30" s="33" t="s">
        <v>20</v>
      </c>
      <c r="G30" s="28">
        <v>100</v>
      </c>
      <c r="H30" s="28">
        <v>100</v>
      </c>
      <c r="I30" s="32">
        <v>100</v>
      </c>
      <c r="J30" s="31">
        <v>100</v>
      </c>
      <c r="K30" s="31">
        <v>100</v>
      </c>
      <c r="L30" s="31">
        <v>100</v>
      </c>
      <c r="M30" s="31">
        <v>100</v>
      </c>
      <c r="N30" s="31">
        <v>100</v>
      </c>
      <c r="O30" s="31">
        <v>100</v>
      </c>
      <c r="P30" s="31">
        <v>100</v>
      </c>
      <c r="Q30" s="31">
        <v>100</v>
      </c>
      <c r="R30" s="31">
        <v>44.44</v>
      </c>
      <c r="S30" s="31">
        <v>100</v>
      </c>
      <c r="T30" s="31">
        <v>100</v>
      </c>
      <c r="U30" s="31">
        <v>100</v>
      </c>
      <c r="V30" s="31">
        <v>100</v>
      </c>
      <c r="W30" s="31">
        <v>100</v>
      </c>
      <c r="X30" s="31">
        <v>100</v>
      </c>
      <c r="Y30" s="32">
        <v>97.5</v>
      </c>
      <c r="Z30" s="48">
        <v>100</v>
      </c>
      <c r="AA30" s="21">
        <f t="shared" si="0"/>
        <v>96.371250000000003</v>
      </c>
      <c r="AB30" s="21">
        <f t="shared" si="1"/>
        <v>100</v>
      </c>
      <c r="AC30" s="21">
        <f t="shared" si="2"/>
        <v>100</v>
      </c>
      <c r="AD30" s="21">
        <f t="shared" si="3"/>
        <v>98.548500000000004</v>
      </c>
    </row>
    <row r="31" spans="2:30" ht="15.75" x14ac:dyDescent="0.25">
      <c r="B31" s="25">
        <v>1004846295</v>
      </c>
      <c r="C31" s="8" t="s">
        <v>32</v>
      </c>
      <c r="D31" s="14" t="s">
        <v>33</v>
      </c>
      <c r="E31" s="22">
        <v>100</v>
      </c>
      <c r="F31" s="33">
        <v>100</v>
      </c>
      <c r="G31" s="28">
        <v>100</v>
      </c>
      <c r="H31" s="28">
        <v>63.27</v>
      </c>
      <c r="I31" s="32">
        <v>100</v>
      </c>
      <c r="J31" s="31">
        <v>100</v>
      </c>
      <c r="K31" s="31">
        <v>100</v>
      </c>
      <c r="L31" s="31">
        <v>100</v>
      </c>
      <c r="M31" s="31">
        <v>100</v>
      </c>
      <c r="N31" s="31">
        <v>81.430000000000007</v>
      </c>
      <c r="O31" s="31">
        <v>100</v>
      </c>
      <c r="P31" s="31">
        <v>100</v>
      </c>
      <c r="Q31" s="31">
        <v>100</v>
      </c>
      <c r="R31" s="31">
        <v>100</v>
      </c>
      <c r="S31" s="31" t="s">
        <v>17</v>
      </c>
      <c r="T31" s="31">
        <v>85.71</v>
      </c>
      <c r="U31" s="31">
        <v>87.5</v>
      </c>
      <c r="V31" s="31">
        <v>100</v>
      </c>
      <c r="W31" s="31">
        <v>100</v>
      </c>
      <c r="X31" s="31">
        <v>90</v>
      </c>
      <c r="Y31" s="32">
        <v>100</v>
      </c>
      <c r="Z31" s="48">
        <v>93.75</v>
      </c>
      <c r="AA31" s="21">
        <f t="shared" si="0"/>
        <v>98.67647058823529</v>
      </c>
      <c r="AB31" s="21">
        <f t="shared" si="1"/>
        <v>81.040000000000006</v>
      </c>
      <c r="AC31" s="21">
        <f t="shared" si="2"/>
        <v>81.040000000000006</v>
      </c>
      <c r="AD31" s="21">
        <f t="shared" si="3"/>
        <v>88.094588235294111</v>
      </c>
    </row>
    <row r="32" spans="2:30" ht="15.75" x14ac:dyDescent="0.25">
      <c r="B32" s="25">
        <v>11189869</v>
      </c>
      <c r="C32" s="8" t="s">
        <v>32</v>
      </c>
      <c r="D32" s="14" t="s">
        <v>33</v>
      </c>
      <c r="E32" s="22">
        <v>77.78</v>
      </c>
      <c r="F32" s="33">
        <v>100</v>
      </c>
      <c r="G32" s="28">
        <v>100</v>
      </c>
      <c r="H32" s="31">
        <v>94.49</v>
      </c>
      <c r="I32" s="32">
        <v>100</v>
      </c>
      <c r="J32" s="31">
        <v>100</v>
      </c>
      <c r="K32" s="31">
        <v>100</v>
      </c>
      <c r="L32" s="28" t="s">
        <v>18</v>
      </c>
      <c r="M32" s="31" t="s">
        <v>18</v>
      </c>
      <c r="N32" s="31" t="s">
        <v>18</v>
      </c>
      <c r="O32" s="31" t="s">
        <v>18</v>
      </c>
      <c r="P32" s="28" t="s">
        <v>18</v>
      </c>
      <c r="Q32" s="31" t="s">
        <v>18</v>
      </c>
      <c r="R32" s="28" t="s">
        <v>18</v>
      </c>
      <c r="S32" s="31" t="s">
        <v>18</v>
      </c>
      <c r="T32" s="31" t="s">
        <v>18</v>
      </c>
      <c r="U32" s="31" t="s">
        <v>18</v>
      </c>
      <c r="V32" s="28" t="s">
        <v>18</v>
      </c>
      <c r="W32" s="31" t="s">
        <v>18</v>
      </c>
      <c r="X32" s="31" t="s">
        <v>18</v>
      </c>
      <c r="Y32" s="32" t="s">
        <v>18</v>
      </c>
      <c r="Z32" s="33" t="s">
        <v>18</v>
      </c>
      <c r="AA32" s="21">
        <f t="shared" si="0"/>
        <v>96.296666666666667</v>
      </c>
      <c r="AB32" s="21">
        <f t="shared" si="1"/>
        <v>94.49</v>
      </c>
      <c r="AC32" s="21">
        <f t="shared" si="2"/>
        <v>94.49</v>
      </c>
      <c r="AD32" s="21">
        <f t="shared" si="3"/>
        <v>95.212666666666664</v>
      </c>
    </row>
    <row r="33" spans="2:30" ht="15.75" x14ac:dyDescent="0.25">
      <c r="B33" s="26">
        <v>1014298970</v>
      </c>
      <c r="C33" s="8" t="s">
        <v>32</v>
      </c>
      <c r="D33" s="14" t="s">
        <v>33</v>
      </c>
      <c r="E33" s="22">
        <v>66.67</v>
      </c>
      <c r="F33" s="33">
        <v>100</v>
      </c>
      <c r="G33" s="28" t="s">
        <v>20</v>
      </c>
      <c r="H33" s="28" t="s">
        <v>20</v>
      </c>
      <c r="I33" s="32">
        <v>100</v>
      </c>
      <c r="J33" s="31">
        <v>100</v>
      </c>
      <c r="K33" s="31">
        <v>100</v>
      </c>
      <c r="L33" s="31">
        <v>100</v>
      </c>
      <c r="M33" s="31">
        <v>100</v>
      </c>
      <c r="N33" s="31">
        <v>85.71</v>
      </c>
      <c r="O33" s="31">
        <v>100</v>
      </c>
      <c r="P33" s="31">
        <v>100</v>
      </c>
      <c r="Q33" s="31">
        <v>100</v>
      </c>
      <c r="R33" s="31">
        <v>100</v>
      </c>
      <c r="S33" s="31">
        <v>100</v>
      </c>
      <c r="T33" s="31">
        <v>71.430000000000007</v>
      </c>
      <c r="U33" s="31">
        <v>100</v>
      </c>
      <c r="V33" s="31">
        <v>100</v>
      </c>
      <c r="W33" s="31">
        <v>100</v>
      </c>
      <c r="X33" s="31">
        <v>100</v>
      </c>
      <c r="Y33" s="32">
        <v>100</v>
      </c>
      <c r="Z33" s="48">
        <v>100</v>
      </c>
      <c r="AA33" s="21">
        <f t="shared" si="0"/>
        <v>98.039411764705889</v>
      </c>
      <c r="AB33" s="21">
        <f t="shared" si="1"/>
        <v>85.713333333333324</v>
      </c>
      <c r="AC33" s="21">
        <f t="shared" si="2"/>
        <v>85.713333333333324</v>
      </c>
      <c r="AD33" s="21">
        <f t="shared" si="3"/>
        <v>90.643764705882347</v>
      </c>
    </row>
    <row r="34" spans="2:30" ht="15.75" x14ac:dyDescent="0.25">
      <c r="B34" s="25">
        <v>1035862367</v>
      </c>
      <c r="C34" s="8" t="s">
        <v>32</v>
      </c>
      <c r="D34" s="16" t="s">
        <v>36</v>
      </c>
      <c r="E34" s="22">
        <v>100</v>
      </c>
      <c r="F34" s="33">
        <v>100</v>
      </c>
      <c r="G34" s="28">
        <v>100</v>
      </c>
      <c r="H34" s="28">
        <v>89.8</v>
      </c>
      <c r="I34" s="32">
        <v>100</v>
      </c>
      <c r="J34" s="31">
        <v>100</v>
      </c>
      <c r="K34" s="31">
        <v>100</v>
      </c>
      <c r="L34" s="28" t="s">
        <v>34</v>
      </c>
      <c r="M34" s="31">
        <v>100</v>
      </c>
      <c r="N34" s="31">
        <v>100</v>
      </c>
      <c r="O34" s="31">
        <v>100</v>
      </c>
      <c r="P34" s="31">
        <v>100</v>
      </c>
      <c r="Q34" s="31">
        <v>100</v>
      </c>
      <c r="R34" s="31">
        <v>100</v>
      </c>
      <c r="S34" s="31">
        <v>100</v>
      </c>
      <c r="T34" s="31">
        <v>100</v>
      </c>
      <c r="U34" s="31">
        <v>100</v>
      </c>
      <c r="V34" s="31">
        <v>100</v>
      </c>
      <c r="W34" s="31">
        <v>100</v>
      </c>
      <c r="X34" s="31">
        <v>100</v>
      </c>
      <c r="Y34" s="32">
        <v>100</v>
      </c>
      <c r="Z34" s="48">
        <v>100</v>
      </c>
      <c r="AA34" s="21">
        <f t="shared" si="0"/>
        <v>100</v>
      </c>
      <c r="AB34" s="21">
        <f t="shared" si="1"/>
        <v>97.45</v>
      </c>
      <c r="AC34" s="21">
        <f t="shared" si="2"/>
        <v>97.45</v>
      </c>
      <c r="AD34" s="21">
        <f t="shared" si="3"/>
        <v>98.47</v>
      </c>
    </row>
    <row r="35" spans="2:30" ht="15.75" x14ac:dyDescent="0.25">
      <c r="B35" s="25">
        <v>1015422983</v>
      </c>
      <c r="C35" s="8" t="s">
        <v>32</v>
      </c>
      <c r="D35" s="16" t="s">
        <v>36</v>
      </c>
      <c r="E35" s="22">
        <v>100</v>
      </c>
      <c r="F35" s="33">
        <v>66.67</v>
      </c>
      <c r="G35" s="28">
        <v>75</v>
      </c>
      <c r="H35" s="31">
        <v>77.55</v>
      </c>
      <c r="I35" s="32">
        <v>100</v>
      </c>
      <c r="J35" s="31">
        <v>100</v>
      </c>
      <c r="K35" s="31">
        <v>100</v>
      </c>
      <c r="L35" s="28" t="s">
        <v>18</v>
      </c>
      <c r="M35" s="31" t="s">
        <v>18</v>
      </c>
      <c r="N35" s="31" t="s">
        <v>18</v>
      </c>
      <c r="O35" s="31" t="s">
        <v>18</v>
      </c>
      <c r="P35" s="28" t="s">
        <v>18</v>
      </c>
      <c r="Q35" s="31" t="s">
        <v>18</v>
      </c>
      <c r="R35" s="28" t="s">
        <v>18</v>
      </c>
      <c r="S35" s="31" t="s">
        <v>18</v>
      </c>
      <c r="T35" s="31" t="s">
        <v>18</v>
      </c>
      <c r="U35" s="31" t="s">
        <v>18</v>
      </c>
      <c r="V35" s="28" t="s">
        <v>18</v>
      </c>
      <c r="W35" s="31" t="s">
        <v>18</v>
      </c>
      <c r="X35" s="31" t="s">
        <v>18</v>
      </c>
      <c r="Y35" s="32" t="s">
        <v>18</v>
      </c>
      <c r="Z35" s="33" t="s">
        <v>18</v>
      </c>
      <c r="AA35" s="21">
        <f t="shared" si="0"/>
        <v>90.27833333333335</v>
      </c>
      <c r="AB35" s="21">
        <f t="shared" si="1"/>
        <v>77.55</v>
      </c>
      <c r="AC35" s="21">
        <f t="shared" si="2"/>
        <v>77.55</v>
      </c>
      <c r="AD35" s="21">
        <f t="shared" si="3"/>
        <v>82.641333333333336</v>
      </c>
    </row>
    <row r="36" spans="2:30" ht="15.75" x14ac:dyDescent="0.25">
      <c r="B36" s="25">
        <v>1037634420</v>
      </c>
      <c r="C36" s="8" t="s">
        <v>32</v>
      </c>
      <c r="D36" s="16" t="s">
        <v>36</v>
      </c>
      <c r="E36" s="22">
        <v>100</v>
      </c>
      <c r="F36" s="33">
        <v>100</v>
      </c>
      <c r="G36" s="28">
        <v>100</v>
      </c>
      <c r="H36" s="28">
        <v>100</v>
      </c>
      <c r="I36" s="32">
        <v>100</v>
      </c>
      <c r="J36" s="31">
        <v>100</v>
      </c>
      <c r="K36" s="31">
        <v>100</v>
      </c>
      <c r="L36" s="31">
        <v>100</v>
      </c>
      <c r="M36" s="31">
        <v>100</v>
      </c>
      <c r="N36" s="31">
        <v>96.43</v>
      </c>
      <c r="O36" s="31">
        <v>100</v>
      </c>
      <c r="P36" s="31">
        <v>100</v>
      </c>
      <c r="Q36" s="31">
        <v>100</v>
      </c>
      <c r="R36" s="31">
        <v>100</v>
      </c>
      <c r="S36" s="31">
        <v>100</v>
      </c>
      <c r="T36" s="31">
        <v>100</v>
      </c>
      <c r="U36" s="31">
        <v>100</v>
      </c>
      <c r="V36" s="31">
        <v>100</v>
      </c>
      <c r="W36" s="31">
        <v>100</v>
      </c>
      <c r="X36" s="31">
        <v>100</v>
      </c>
      <c r="Y36" s="32">
        <v>100</v>
      </c>
      <c r="Z36" s="48">
        <v>100</v>
      </c>
      <c r="AA36" s="21">
        <f t="shared" si="0"/>
        <v>100</v>
      </c>
      <c r="AB36" s="21">
        <f t="shared" si="1"/>
        <v>99.107500000000002</v>
      </c>
      <c r="AC36" s="21">
        <f t="shared" si="2"/>
        <v>99.107500000000002</v>
      </c>
      <c r="AD36" s="21">
        <f t="shared" si="3"/>
        <v>99.464500000000001</v>
      </c>
    </row>
    <row r="37" spans="2:30" ht="15.75" x14ac:dyDescent="0.25">
      <c r="B37" s="25">
        <v>1014234343</v>
      </c>
      <c r="C37" s="8" t="s">
        <v>32</v>
      </c>
      <c r="D37" s="16" t="s">
        <v>36</v>
      </c>
      <c r="E37" s="34" t="s">
        <v>20</v>
      </c>
      <c r="F37" s="33">
        <v>66.67</v>
      </c>
      <c r="G37" s="28">
        <v>100</v>
      </c>
      <c r="H37" s="28">
        <v>100</v>
      </c>
      <c r="I37" s="32">
        <v>100</v>
      </c>
      <c r="J37" s="31">
        <v>100</v>
      </c>
      <c r="K37" s="31">
        <v>100</v>
      </c>
      <c r="L37" s="31">
        <v>100</v>
      </c>
      <c r="M37" s="31">
        <v>100</v>
      </c>
      <c r="N37" s="31">
        <v>100</v>
      </c>
      <c r="O37" s="31">
        <v>100</v>
      </c>
      <c r="P37" s="31">
        <v>100</v>
      </c>
      <c r="Q37" s="31">
        <v>66.67</v>
      </c>
      <c r="R37" s="31">
        <v>100</v>
      </c>
      <c r="S37" s="31">
        <v>97.5</v>
      </c>
      <c r="T37" s="31">
        <v>100</v>
      </c>
      <c r="U37" s="31">
        <v>100</v>
      </c>
      <c r="V37" s="31">
        <v>100</v>
      </c>
      <c r="W37" s="31">
        <v>100</v>
      </c>
      <c r="X37" s="31">
        <v>100</v>
      </c>
      <c r="Y37" s="32">
        <v>100</v>
      </c>
      <c r="Z37" s="48">
        <v>100</v>
      </c>
      <c r="AA37" s="21">
        <f t="shared" si="0"/>
        <v>95.931764705882358</v>
      </c>
      <c r="AB37" s="21">
        <f t="shared" si="1"/>
        <v>100</v>
      </c>
      <c r="AC37" s="21">
        <f t="shared" si="2"/>
        <v>100</v>
      </c>
      <c r="AD37" s="21">
        <f t="shared" si="3"/>
        <v>98.372705882352946</v>
      </c>
    </row>
    <row r="38" spans="2:30" ht="15.75" x14ac:dyDescent="0.25">
      <c r="B38" s="25">
        <v>1022400421</v>
      </c>
      <c r="C38" s="8" t="s">
        <v>32</v>
      </c>
      <c r="D38" s="16" t="s">
        <v>36</v>
      </c>
      <c r="E38" s="22">
        <v>100</v>
      </c>
      <c r="F38" s="33">
        <v>66.67</v>
      </c>
      <c r="G38" s="28">
        <v>100</v>
      </c>
      <c r="H38" s="28">
        <v>100</v>
      </c>
      <c r="I38" s="32">
        <v>100</v>
      </c>
      <c r="J38" s="31">
        <v>100</v>
      </c>
      <c r="K38" s="31">
        <v>100</v>
      </c>
      <c r="L38" s="28" t="s">
        <v>18</v>
      </c>
      <c r="M38" s="31" t="s">
        <v>18</v>
      </c>
      <c r="N38" s="31" t="s">
        <v>18</v>
      </c>
      <c r="O38" s="31" t="s">
        <v>18</v>
      </c>
      <c r="P38" s="28" t="s">
        <v>18</v>
      </c>
      <c r="Q38" s="31" t="s">
        <v>18</v>
      </c>
      <c r="R38" s="28" t="s">
        <v>18</v>
      </c>
      <c r="S38" s="31" t="s">
        <v>18</v>
      </c>
      <c r="T38" s="31" t="s">
        <v>18</v>
      </c>
      <c r="U38" s="31" t="s">
        <v>18</v>
      </c>
      <c r="V38" s="28" t="s">
        <v>18</v>
      </c>
      <c r="W38" s="31" t="s">
        <v>18</v>
      </c>
      <c r="X38" s="31" t="s">
        <v>18</v>
      </c>
      <c r="Y38" s="32" t="s">
        <v>18</v>
      </c>
      <c r="Z38" s="33" t="s">
        <v>18</v>
      </c>
      <c r="AA38" s="21">
        <f t="shared" si="0"/>
        <v>94.445000000000007</v>
      </c>
      <c r="AB38" s="21">
        <f t="shared" si="1"/>
        <v>100</v>
      </c>
      <c r="AC38" s="21">
        <f t="shared" si="2"/>
        <v>100</v>
      </c>
      <c r="AD38" s="21">
        <f t="shared" si="3"/>
        <v>97.778000000000006</v>
      </c>
    </row>
    <row r="39" spans="2:30" ht="15.75" x14ac:dyDescent="0.25">
      <c r="B39" s="25">
        <v>1020812160</v>
      </c>
      <c r="C39" s="8" t="s">
        <v>32</v>
      </c>
      <c r="D39" s="16" t="s">
        <v>36</v>
      </c>
      <c r="E39" s="22">
        <v>100</v>
      </c>
      <c r="F39" s="33">
        <v>100</v>
      </c>
      <c r="G39" s="28">
        <v>100</v>
      </c>
      <c r="H39" s="28">
        <v>100</v>
      </c>
      <c r="I39" s="32">
        <v>100</v>
      </c>
      <c r="J39" s="31">
        <v>100</v>
      </c>
      <c r="K39" s="31">
        <v>39.39</v>
      </c>
      <c r="L39" s="28" t="s">
        <v>18</v>
      </c>
      <c r="M39" s="31" t="s">
        <v>18</v>
      </c>
      <c r="N39" s="31" t="s">
        <v>18</v>
      </c>
      <c r="O39" s="31" t="s">
        <v>18</v>
      </c>
      <c r="P39" s="28" t="s">
        <v>18</v>
      </c>
      <c r="Q39" s="31" t="s">
        <v>18</v>
      </c>
      <c r="R39" s="28" t="s">
        <v>18</v>
      </c>
      <c r="S39" s="31" t="s">
        <v>18</v>
      </c>
      <c r="T39" s="31" t="s">
        <v>18</v>
      </c>
      <c r="U39" s="31" t="s">
        <v>18</v>
      </c>
      <c r="V39" s="28" t="s">
        <v>18</v>
      </c>
      <c r="W39" s="31" t="s">
        <v>18</v>
      </c>
      <c r="X39" s="31" t="s">
        <v>18</v>
      </c>
      <c r="Y39" s="32" t="s">
        <v>18</v>
      </c>
      <c r="Z39" s="33" t="s">
        <v>18</v>
      </c>
      <c r="AA39" s="21">
        <f t="shared" si="0"/>
        <v>89.898333333333326</v>
      </c>
      <c r="AB39" s="21">
        <f t="shared" si="1"/>
        <v>100</v>
      </c>
      <c r="AC39" s="21">
        <f t="shared" si="2"/>
        <v>100</v>
      </c>
      <c r="AD39" s="21">
        <f t="shared" si="3"/>
        <v>95.959333333333333</v>
      </c>
    </row>
    <row r="40" spans="2:30" ht="15.75" x14ac:dyDescent="0.25">
      <c r="B40" s="25">
        <v>1020739610</v>
      </c>
      <c r="C40" s="8" t="s">
        <v>32</v>
      </c>
      <c r="D40" s="16" t="s">
        <v>36</v>
      </c>
      <c r="E40" s="22">
        <v>100</v>
      </c>
      <c r="F40" s="33">
        <v>66.67</v>
      </c>
      <c r="G40" s="28" t="s">
        <v>20</v>
      </c>
      <c r="H40" s="28" t="s">
        <v>20</v>
      </c>
      <c r="I40" s="32">
        <v>100</v>
      </c>
      <c r="J40" s="31">
        <v>100</v>
      </c>
      <c r="K40" s="31">
        <v>100</v>
      </c>
      <c r="L40" s="28" t="s">
        <v>18</v>
      </c>
      <c r="M40" s="31" t="s">
        <v>18</v>
      </c>
      <c r="N40" s="31" t="s">
        <v>18</v>
      </c>
      <c r="O40" s="31" t="s">
        <v>18</v>
      </c>
      <c r="P40" s="28" t="s">
        <v>18</v>
      </c>
      <c r="Q40" s="31" t="s">
        <v>18</v>
      </c>
      <c r="R40" s="28" t="s">
        <v>18</v>
      </c>
      <c r="S40" s="31" t="s">
        <v>18</v>
      </c>
      <c r="T40" s="31" t="s">
        <v>18</v>
      </c>
      <c r="U40" s="31" t="s">
        <v>18</v>
      </c>
      <c r="V40" s="28" t="s">
        <v>18</v>
      </c>
      <c r="W40" s="31" t="s">
        <v>18</v>
      </c>
      <c r="X40" s="31" t="s">
        <v>18</v>
      </c>
      <c r="Y40" s="32" t="s">
        <v>18</v>
      </c>
      <c r="Z40" s="33" t="s">
        <v>18</v>
      </c>
      <c r="AA40" s="21">
        <f t="shared" si="0"/>
        <v>93.334000000000003</v>
      </c>
      <c r="AB40" s="21" t="e">
        <f t="shared" si="1"/>
        <v>#DIV/0!</v>
      </c>
      <c r="AC40" s="21" t="e">
        <f t="shared" si="2"/>
        <v>#DIV/0!</v>
      </c>
      <c r="AD40" s="21" t="e">
        <f t="shared" si="3"/>
        <v>#DIV/0!</v>
      </c>
    </row>
    <row r="41" spans="2:30" ht="15.75" x14ac:dyDescent="0.25">
      <c r="B41" s="25">
        <v>1024544635</v>
      </c>
      <c r="C41" s="8" t="s">
        <v>32</v>
      </c>
      <c r="D41" s="16" t="s">
        <v>36</v>
      </c>
      <c r="E41" s="22">
        <v>100</v>
      </c>
      <c r="F41" s="33">
        <v>100</v>
      </c>
      <c r="G41" s="28">
        <v>100</v>
      </c>
      <c r="H41" s="28">
        <v>100</v>
      </c>
      <c r="I41" s="32">
        <v>100</v>
      </c>
      <c r="J41" s="31">
        <v>100</v>
      </c>
      <c r="K41" s="31">
        <v>100</v>
      </c>
      <c r="L41" s="31">
        <v>100</v>
      </c>
      <c r="M41" s="31" t="s">
        <v>20</v>
      </c>
      <c r="N41" s="31">
        <v>85.71</v>
      </c>
      <c r="O41" s="31">
        <v>100</v>
      </c>
      <c r="P41" s="31">
        <v>100</v>
      </c>
      <c r="Q41" s="31">
        <v>100</v>
      </c>
      <c r="R41" s="31">
        <v>100</v>
      </c>
      <c r="S41" s="31">
        <v>100</v>
      </c>
      <c r="T41" s="31">
        <v>100</v>
      </c>
      <c r="U41" s="31">
        <v>100</v>
      </c>
      <c r="V41" s="31">
        <v>100</v>
      </c>
      <c r="W41" s="31">
        <v>100</v>
      </c>
      <c r="X41" s="31">
        <v>50</v>
      </c>
      <c r="Y41" s="32">
        <v>100</v>
      </c>
      <c r="Z41" s="48">
        <v>100</v>
      </c>
      <c r="AA41" s="21">
        <f t="shared" si="0"/>
        <v>97.058823529411768</v>
      </c>
      <c r="AB41" s="21">
        <f t="shared" si="1"/>
        <v>96.427499999999995</v>
      </c>
      <c r="AC41" s="21">
        <f t="shared" si="2"/>
        <v>96.427499999999995</v>
      </c>
      <c r="AD41" s="21">
        <f t="shared" si="3"/>
        <v>96.680029411764707</v>
      </c>
    </row>
    <row r="42" spans="2:30" ht="15.75" x14ac:dyDescent="0.25">
      <c r="B42" s="25">
        <v>1000834030</v>
      </c>
      <c r="C42" s="8" t="s">
        <v>32</v>
      </c>
      <c r="D42" s="16" t="s">
        <v>36</v>
      </c>
      <c r="E42" s="22">
        <v>100</v>
      </c>
      <c r="F42" s="33">
        <v>100</v>
      </c>
      <c r="G42" s="28">
        <v>100</v>
      </c>
      <c r="H42" s="28">
        <v>59.8</v>
      </c>
      <c r="I42" s="32">
        <v>100</v>
      </c>
      <c r="J42" s="31">
        <v>100</v>
      </c>
      <c r="K42" s="31">
        <v>100</v>
      </c>
      <c r="L42" s="31">
        <v>91.67</v>
      </c>
      <c r="M42" s="31">
        <v>97.5</v>
      </c>
      <c r="N42" s="31">
        <v>70</v>
      </c>
      <c r="O42" s="31">
        <v>33.33</v>
      </c>
      <c r="P42" s="28" t="s">
        <v>19</v>
      </c>
      <c r="Q42" s="31">
        <v>33.33</v>
      </c>
      <c r="R42" s="31">
        <v>100</v>
      </c>
      <c r="S42" s="31">
        <v>97.5</v>
      </c>
      <c r="T42" s="31">
        <v>57.14</v>
      </c>
      <c r="U42" s="31">
        <v>100</v>
      </c>
      <c r="V42" s="31">
        <v>100</v>
      </c>
      <c r="W42" s="47">
        <v>100</v>
      </c>
      <c r="X42" s="31">
        <v>0</v>
      </c>
      <c r="Y42" s="32">
        <v>100</v>
      </c>
      <c r="Z42" s="48">
        <v>93.75</v>
      </c>
      <c r="AA42" s="21">
        <f t="shared" si="0"/>
        <v>85.49</v>
      </c>
      <c r="AB42" s="21">
        <f t="shared" si="1"/>
        <v>70.172499999999999</v>
      </c>
      <c r="AC42" s="21">
        <f t="shared" si="2"/>
        <v>70.172499999999999</v>
      </c>
      <c r="AD42" s="21">
        <f t="shared" si="3"/>
        <v>76.299499999999995</v>
      </c>
    </row>
    <row r="43" spans="2:30" ht="15.75" x14ac:dyDescent="0.25">
      <c r="B43" s="25">
        <v>1137179208</v>
      </c>
      <c r="C43" s="8" t="s">
        <v>32</v>
      </c>
      <c r="D43" s="16" t="s">
        <v>36</v>
      </c>
      <c r="E43" s="22">
        <v>100</v>
      </c>
      <c r="F43" s="33">
        <v>100</v>
      </c>
      <c r="G43" s="28">
        <v>100</v>
      </c>
      <c r="H43" s="28">
        <v>97.96</v>
      </c>
      <c r="I43" s="32">
        <v>100</v>
      </c>
      <c r="J43" s="31">
        <v>100</v>
      </c>
      <c r="K43" s="31">
        <v>100</v>
      </c>
      <c r="L43" s="31">
        <v>100</v>
      </c>
      <c r="M43" s="31">
        <v>100</v>
      </c>
      <c r="N43" s="31">
        <v>100</v>
      </c>
      <c r="O43" s="31">
        <v>100</v>
      </c>
      <c r="P43" s="31">
        <v>100</v>
      </c>
      <c r="Q43" s="31">
        <v>100</v>
      </c>
      <c r="R43" s="31">
        <v>100</v>
      </c>
      <c r="S43" s="31">
        <v>100</v>
      </c>
      <c r="T43" s="31">
        <v>100</v>
      </c>
      <c r="U43" s="31">
        <v>100</v>
      </c>
      <c r="V43" s="31">
        <v>100</v>
      </c>
      <c r="W43" s="31">
        <v>100</v>
      </c>
      <c r="X43" s="31">
        <v>100</v>
      </c>
      <c r="Y43" s="32">
        <v>97.5</v>
      </c>
      <c r="Z43" s="48">
        <v>100</v>
      </c>
      <c r="AA43" s="21">
        <f t="shared" si="0"/>
        <v>99.861111111111114</v>
      </c>
      <c r="AB43" s="21">
        <f t="shared" si="1"/>
        <v>99.49</v>
      </c>
      <c r="AC43" s="21">
        <f t="shared" si="2"/>
        <v>99.49</v>
      </c>
      <c r="AD43" s="21">
        <f t="shared" si="3"/>
        <v>99.638444444444445</v>
      </c>
    </row>
    <row r="44" spans="2:30" ht="15.75" x14ac:dyDescent="0.25">
      <c r="B44" s="25">
        <v>1000987233</v>
      </c>
      <c r="C44" s="8" t="s">
        <v>32</v>
      </c>
      <c r="D44" s="16" t="s">
        <v>36</v>
      </c>
      <c r="E44" s="22">
        <v>100</v>
      </c>
      <c r="F44" s="33">
        <v>100</v>
      </c>
      <c r="G44" s="28">
        <v>100</v>
      </c>
      <c r="H44" s="28">
        <v>91.84</v>
      </c>
      <c r="I44" s="32">
        <v>100</v>
      </c>
      <c r="J44" s="31">
        <v>100</v>
      </c>
      <c r="K44" s="31">
        <v>100</v>
      </c>
      <c r="L44" s="31">
        <v>100</v>
      </c>
      <c r="M44" s="31">
        <v>100</v>
      </c>
      <c r="N44" s="31">
        <v>100</v>
      </c>
      <c r="O44" s="31" t="s">
        <v>20</v>
      </c>
      <c r="P44" s="31">
        <v>100</v>
      </c>
      <c r="Q44" s="31">
        <v>100</v>
      </c>
      <c r="R44" s="31">
        <v>100</v>
      </c>
      <c r="S44" s="31">
        <v>100</v>
      </c>
      <c r="T44" s="31">
        <v>100</v>
      </c>
      <c r="U44" s="31">
        <v>100</v>
      </c>
      <c r="V44" s="31">
        <v>100</v>
      </c>
      <c r="W44" s="31">
        <v>100</v>
      </c>
      <c r="X44" s="31">
        <v>100</v>
      </c>
      <c r="Y44" s="32">
        <v>100</v>
      </c>
      <c r="Z44" s="48">
        <v>100</v>
      </c>
      <c r="AA44" s="21">
        <f t="shared" si="0"/>
        <v>100</v>
      </c>
      <c r="AB44" s="21">
        <f t="shared" si="1"/>
        <v>97.960000000000008</v>
      </c>
      <c r="AC44" s="21">
        <f t="shared" si="2"/>
        <v>97.960000000000008</v>
      </c>
      <c r="AD44" s="21">
        <f t="shared" si="3"/>
        <v>98.77600000000001</v>
      </c>
    </row>
    <row r="45" spans="2:30" ht="15.75" x14ac:dyDescent="0.25">
      <c r="B45" s="25">
        <v>1013682595</v>
      </c>
      <c r="C45" s="8" t="s">
        <v>32</v>
      </c>
      <c r="D45" s="16" t="s">
        <v>36</v>
      </c>
      <c r="E45" s="22">
        <v>100</v>
      </c>
      <c r="F45" s="33">
        <v>100</v>
      </c>
      <c r="G45" s="28">
        <v>100</v>
      </c>
      <c r="H45" s="28">
        <v>100</v>
      </c>
      <c r="I45" s="32">
        <v>100</v>
      </c>
      <c r="J45" s="31">
        <v>100</v>
      </c>
      <c r="K45" s="31">
        <v>100</v>
      </c>
      <c r="L45" s="31">
        <v>100</v>
      </c>
      <c r="M45" s="31">
        <v>100</v>
      </c>
      <c r="N45" s="31">
        <v>100</v>
      </c>
      <c r="O45" s="31" t="s">
        <v>20</v>
      </c>
      <c r="P45" s="31">
        <v>100</v>
      </c>
      <c r="Q45" s="31">
        <v>100</v>
      </c>
      <c r="R45" s="31">
        <v>100</v>
      </c>
      <c r="S45" s="31">
        <v>100</v>
      </c>
      <c r="T45" s="31">
        <v>100</v>
      </c>
      <c r="U45" s="31">
        <v>100</v>
      </c>
      <c r="V45" s="31">
        <v>100</v>
      </c>
      <c r="W45" s="31">
        <v>100</v>
      </c>
      <c r="X45" s="31">
        <v>100</v>
      </c>
      <c r="Y45" s="32">
        <v>100</v>
      </c>
      <c r="Z45" s="48">
        <v>100</v>
      </c>
      <c r="AA45" s="21">
        <f t="shared" si="0"/>
        <v>100</v>
      </c>
      <c r="AB45" s="21">
        <f t="shared" si="1"/>
        <v>100</v>
      </c>
      <c r="AC45" s="21">
        <f t="shared" si="2"/>
        <v>100</v>
      </c>
      <c r="AD45" s="21">
        <f t="shared" si="3"/>
        <v>100</v>
      </c>
    </row>
    <row r="46" spans="2:30" ht="15.75" x14ac:dyDescent="0.25">
      <c r="B46" s="25">
        <v>12918913</v>
      </c>
      <c r="C46" s="8" t="s">
        <v>32</v>
      </c>
      <c r="D46" s="16" t="s">
        <v>36</v>
      </c>
      <c r="E46" s="22">
        <v>100</v>
      </c>
      <c r="F46" s="33">
        <v>100</v>
      </c>
      <c r="G46" s="28">
        <v>100</v>
      </c>
      <c r="H46" s="31">
        <v>91.84</v>
      </c>
      <c r="I46" s="32">
        <v>100</v>
      </c>
      <c r="J46" s="31">
        <v>66.67</v>
      </c>
      <c r="K46" s="31">
        <v>100</v>
      </c>
      <c r="L46" s="31">
        <v>100</v>
      </c>
      <c r="M46" s="31">
        <v>100</v>
      </c>
      <c r="N46" s="31">
        <v>98.57</v>
      </c>
      <c r="O46" s="31" t="s">
        <v>18</v>
      </c>
      <c r="P46" s="28" t="s">
        <v>18</v>
      </c>
      <c r="Q46" s="31" t="s">
        <v>18</v>
      </c>
      <c r="R46" s="28" t="s">
        <v>18</v>
      </c>
      <c r="S46" s="31" t="s">
        <v>18</v>
      </c>
      <c r="T46" s="31" t="s">
        <v>18</v>
      </c>
      <c r="U46" s="31" t="s">
        <v>18</v>
      </c>
      <c r="V46" s="28" t="s">
        <v>18</v>
      </c>
      <c r="W46" s="31" t="s">
        <v>18</v>
      </c>
      <c r="X46" s="31" t="s">
        <v>18</v>
      </c>
      <c r="Y46" s="32" t="s">
        <v>18</v>
      </c>
      <c r="Z46" s="33" t="s">
        <v>18</v>
      </c>
      <c r="AA46" s="21">
        <f t="shared" si="0"/>
        <v>95.833750000000009</v>
      </c>
      <c r="AB46" s="21">
        <f t="shared" si="1"/>
        <v>95.204999999999998</v>
      </c>
      <c r="AC46" s="21">
        <f t="shared" si="2"/>
        <v>95.204999999999998</v>
      </c>
      <c r="AD46" s="21">
        <f t="shared" si="3"/>
        <v>95.456500000000005</v>
      </c>
    </row>
    <row r="47" spans="2:30" ht="15.75" x14ac:dyDescent="0.25">
      <c r="B47" s="25">
        <v>1152694490</v>
      </c>
      <c r="C47" s="8" t="s">
        <v>32</v>
      </c>
      <c r="D47" s="16" t="s">
        <v>36</v>
      </c>
      <c r="E47" s="22">
        <v>100</v>
      </c>
      <c r="F47" s="33">
        <v>100</v>
      </c>
      <c r="G47" s="28">
        <v>100</v>
      </c>
      <c r="H47" s="28">
        <v>98.57</v>
      </c>
      <c r="I47" s="32">
        <v>100</v>
      </c>
      <c r="J47" s="31">
        <v>66.67</v>
      </c>
      <c r="K47" s="31">
        <v>100</v>
      </c>
      <c r="L47" s="31">
        <v>100</v>
      </c>
      <c r="M47" s="31">
        <v>100</v>
      </c>
      <c r="N47" s="31">
        <v>100</v>
      </c>
      <c r="O47" s="31">
        <v>100</v>
      </c>
      <c r="P47" s="31">
        <v>100</v>
      </c>
      <c r="Q47" s="31" t="s">
        <v>17</v>
      </c>
      <c r="R47" s="31">
        <v>100</v>
      </c>
      <c r="S47" s="31">
        <v>97.5</v>
      </c>
      <c r="T47" s="31">
        <v>100</v>
      </c>
      <c r="U47" s="31">
        <v>100</v>
      </c>
      <c r="V47" s="31">
        <v>100</v>
      </c>
      <c r="W47" s="31">
        <v>100</v>
      </c>
      <c r="X47" s="31">
        <v>100</v>
      </c>
      <c r="Y47" s="32">
        <v>100</v>
      </c>
      <c r="Z47" s="48">
        <v>93.75</v>
      </c>
      <c r="AA47" s="21">
        <f t="shared" si="0"/>
        <v>97.892352941176469</v>
      </c>
      <c r="AB47" s="21">
        <f t="shared" si="1"/>
        <v>98.08</v>
      </c>
      <c r="AC47" s="21">
        <f t="shared" si="2"/>
        <v>98.08</v>
      </c>
      <c r="AD47" s="21">
        <f t="shared" si="3"/>
        <v>98.004941176470595</v>
      </c>
    </row>
    <row r="48" spans="2:30" ht="15.75" x14ac:dyDescent="0.25">
      <c r="B48" s="25">
        <v>1020463055</v>
      </c>
      <c r="C48" s="8" t="s">
        <v>32</v>
      </c>
      <c r="D48" s="16" t="s">
        <v>36</v>
      </c>
      <c r="E48" s="22">
        <v>100</v>
      </c>
      <c r="F48" s="33">
        <v>100</v>
      </c>
      <c r="G48" s="28">
        <v>100</v>
      </c>
      <c r="H48" s="28">
        <v>100</v>
      </c>
      <c r="I48" s="32">
        <v>100</v>
      </c>
      <c r="J48" s="31">
        <v>100</v>
      </c>
      <c r="K48" s="31">
        <v>100</v>
      </c>
      <c r="L48" s="31">
        <v>100</v>
      </c>
      <c r="M48" s="31">
        <v>87.5</v>
      </c>
      <c r="N48" s="31">
        <v>100</v>
      </c>
      <c r="O48" s="31">
        <v>100</v>
      </c>
      <c r="P48" s="31">
        <v>100</v>
      </c>
      <c r="Q48" s="31">
        <v>100</v>
      </c>
      <c r="R48" s="31">
        <v>100</v>
      </c>
      <c r="S48" s="31">
        <v>97.5</v>
      </c>
      <c r="T48" s="31">
        <v>100</v>
      </c>
      <c r="U48" s="31">
        <v>100</v>
      </c>
      <c r="V48" s="31">
        <v>100</v>
      </c>
      <c r="W48" s="31">
        <v>100</v>
      </c>
      <c r="X48" s="31">
        <v>100</v>
      </c>
      <c r="Y48" s="32">
        <v>100</v>
      </c>
      <c r="Z48" s="48">
        <v>100</v>
      </c>
      <c r="AA48" s="21">
        <f t="shared" si="0"/>
        <v>99.166666666666671</v>
      </c>
      <c r="AB48" s="21">
        <f t="shared" si="1"/>
        <v>100</v>
      </c>
      <c r="AC48" s="21">
        <f t="shared" si="2"/>
        <v>100</v>
      </c>
      <c r="AD48" s="21">
        <f t="shared" si="3"/>
        <v>99.666666666666671</v>
      </c>
    </row>
    <row r="49" spans="2:30" ht="15.75" x14ac:dyDescent="0.25">
      <c r="B49" s="25">
        <v>43622024</v>
      </c>
      <c r="C49" s="8" t="s">
        <v>32</v>
      </c>
      <c r="D49" s="16" t="s">
        <v>36</v>
      </c>
      <c r="E49" s="22">
        <v>100</v>
      </c>
      <c r="F49" s="33">
        <v>66.67</v>
      </c>
      <c r="G49" s="28">
        <v>100</v>
      </c>
      <c r="H49" s="28">
        <v>90.41</v>
      </c>
      <c r="I49" s="32">
        <v>100</v>
      </c>
      <c r="J49" s="31">
        <v>100</v>
      </c>
      <c r="K49" s="31">
        <v>100</v>
      </c>
      <c r="L49" s="31">
        <v>100</v>
      </c>
      <c r="M49" s="31">
        <v>100</v>
      </c>
      <c r="N49" s="31">
        <v>95</v>
      </c>
      <c r="O49" s="31">
        <v>100</v>
      </c>
      <c r="P49" s="31">
        <v>100</v>
      </c>
      <c r="Q49" s="31">
        <v>100</v>
      </c>
      <c r="R49" s="31">
        <v>100</v>
      </c>
      <c r="S49" s="31">
        <v>97.5</v>
      </c>
      <c r="T49" s="31">
        <v>100</v>
      </c>
      <c r="U49" s="31">
        <v>100</v>
      </c>
      <c r="V49" s="31">
        <v>100</v>
      </c>
      <c r="W49" s="31">
        <v>100</v>
      </c>
      <c r="X49" s="31">
        <v>100</v>
      </c>
      <c r="Y49" s="32">
        <v>100</v>
      </c>
      <c r="Z49" s="48">
        <v>100</v>
      </c>
      <c r="AA49" s="21">
        <f t="shared" si="0"/>
        <v>98.009444444444455</v>
      </c>
      <c r="AB49" s="21">
        <f t="shared" si="1"/>
        <v>96.352499999999992</v>
      </c>
      <c r="AC49" s="21">
        <f t="shared" si="2"/>
        <v>96.352499999999992</v>
      </c>
      <c r="AD49" s="21">
        <f t="shared" si="3"/>
        <v>97.015277777777783</v>
      </c>
    </row>
    <row r="50" spans="2:30" ht="15.75" x14ac:dyDescent="0.25">
      <c r="B50" s="25">
        <v>1214746106</v>
      </c>
      <c r="C50" s="8" t="s">
        <v>32</v>
      </c>
      <c r="D50" s="16" t="s">
        <v>36</v>
      </c>
      <c r="E50" s="34" t="s">
        <v>17</v>
      </c>
      <c r="F50" s="33">
        <v>100</v>
      </c>
      <c r="G50" s="28">
        <v>100</v>
      </c>
      <c r="H50" s="28">
        <v>100</v>
      </c>
      <c r="I50" s="32">
        <v>100</v>
      </c>
      <c r="J50" s="31">
        <v>100</v>
      </c>
      <c r="K50" s="28" t="s">
        <v>21</v>
      </c>
      <c r="L50" s="28" t="s">
        <v>21</v>
      </c>
      <c r="M50" s="31" t="s">
        <v>21</v>
      </c>
      <c r="N50" s="31" t="s">
        <v>21</v>
      </c>
      <c r="O50" s="31">
        <v>100</v>
      </c>
      <c r="P50" s="31">
        <v>100</v>
      </c>
      <c r="Q50" s="31">
        <v>100</v>
      </c>
      <c r="R50" s="31">
        <v>100</v>
      </c>
      <c r="S50" s="31">
        <v>100</v>
      </c>
      <c r="T50" s="31">
        <v>100</v>
      </c>
      <c r="U50" s="31">
        <v>100</v>
      </c>
      <c r="V50" s="31">
        <v>100</v>
      </c>
      <c r="W50" s="31">
        <v>100</v>
      </c>
      <c r="X50" s="31">
        <v>100</v>
      </c>
      <c r="Y50" s="32">
        <v>100</v>
      </c>
      <c r="Z50" s="48">
        <v>100</v>
      </c>
      <c r="AA50" s="21">
        <f t="shared" si="0"/>
        <v>100</v>
      </c>
      <c r="AB50" s="21">
        <f t="shared" si="1"/>
        <v>100</v>
      </c>
      <c r="AC50" s="21">
        <f t="shared" si="2"/>
        <v>100</v>
      </c>
      <c r="AD50" s="21">
        <f t="shared" si="3"/>
        <v>100</v>
      </c>
    </row>
    <row r="51" spans="2:30" ht="15.75" x14ac:dyDescent="0.25">
      <c r="B51" s="25">
        <v>53072371</v>
      </c>
      <c r="C51" s="8" t="s">
        <v>32</v>
      </c>
      <c r="D51" s="16" t="s">
        <v>36</v>
      </c>
      <c r="E51" s="22">
        <v>100</v>
      </c>
      <c r="F51" s="33">
        <v>100</v>
      </c>
      <c r="G51" s="28">
        <v>100</v>
      </c>
      <c r="H51" s="28">
        <v>97.96</v>
      </c>
      <c r="I51" s="32">
        <v>100</v>
      </c>
      <c r="J51" s="31">
        <v>100</v>
      </c>
      <c r="K51" s="31">
        <v>100</v>
      </c>
      <c r="L51" s="31">
        <v>100</v>
      </c>
      <c r="M51" s="31">
        <v>100</v>
      </c>
      <c r="N51" s="31">
        <v>70.709999999999994</v>
      </c>
      <c r="O51" s="31">
        <v>44.44</v>
      </c>
      <c r="P51" s="31">
        <v>100</v>
      </c>
      <c r="Q51" s="31">
        <v>100</v>
      </c>
      <c r="R51" s="31">
        <v>100</v>
      </c>
      <c r="S51" s="31">
        <v>100</v>
      </c>
      <c r="T51" s="31">
        <v>85.71</v>
      </c>
      <c r="U51" s="31">
        <v>100</v>
      </c>
      <c r="V51" s="31">
        <v>100</v>
      </c>
      <c r="W51" s="31">
        <v>100</v>
      </c>
      <c r="X51" s="31">
        <v>100</v>
      </c>
      <c r="Y51" s="32">
        <v>97.5</v>
      </c>
      <c r="Z51" s="48">
        <v>100</v>
      </c>
      <c r="AA51" s="21">
        <f t="shared" si="0"/>
        <v>96.774444444444441</v>
      </c>
      <c r="AB51" s="21">
        <f t="shared" si="1"/>
        <v>88.594999999999999</v>
      </c>
      <c r="AC51" s="21">
        <f t="shared" si="2"/>
        <v>88.594999999999999</v>
      </c>
      <c r="AD51" s="21">
        <f t="shared" si="3"/>
        <v>91.86677777777777</v>
      </c>
    </row>
    <row r="52" spans="2:30" ht="15.75" x14ac:dyDescent="0.25">
      <c r="B52" s="26">
        <v>22516973</v>
      </c>
      <c r="C52" s="18" t="s">
        <v>32</v>
      </c>
      <c r="D52" s="16" t="s">
        <v>36</v>
      </c>
      <c r="E52" s="37">
        <v>100</v>
      </c>
      <c r="F52" s="38">
        <v>100</v>
      </c>
      <c r="G52" s="36">
        <v>75</v>
      </c>
      <c r="H52" s="39">
        <v>94.49</v>
      </c>
      <c r="I52" s="40">
        <v>100</v>
      </c>
      <c r="J52" s="39">
        <v>100</v>
      </c>
      <c r="K52" s="39">
        <v>100</v>
      </c>
      <c r="L52" s="39">
        <v>100</v>
      </c>
      <c r="M52" s="39">
        <v>100</v>
      </c>
      <c r="N52" s="31">
        <v>82.14</v>
      </c>
      <c r="O52" s="31">
        <v>100</v>
      </c>
      <c r="P52" s="31">
        <v>100</v>
      </c>
      <c r="Q52" s="31">
        <v>66.67</v>
      </c>
      <c r="R52" s="31">
        <v>100</v>
      </c>
      <c r="S52" s="31">
        <v>85</v>
      </c>
      <c r="T52" s="31">
        <v>100</v>
      </c>
      <c r="U52" s="31">
        <v>100</v>
      </c>
      <c r="V52" s="31">
        <v>100</v>
      </c>
      <c r="W52" s="31">
        <v>100</v>
      </c>
      <c r="X52" s="31">
        <v>100</v>
      </c>
      <c r="Y52" s="32">
        <v>100</v>
      </c>
      <c r="Z52" s="48">
        <v>93.75</v>
      </c>
      <c r="AA52" s="21">
        <f t="shared" si="0"/>
        <v>95.926111111111112</v>
      </c>
      <c r="AB52" s="21">
        <f t="shared" si="1"/>
        <v>92.594999999999999</v>
      </c>
      <c r="AC52" s="21">
        <f t="shared" si="2"/>
        <v>92.594999999999999</v>
      </c>
      <c r="AD52" s="21">
        <f t="shared" si="3"/>
        <v>93.927444444444433</v>
      </c>
    </row>
    <row r="53" spans="2:30" customFormat="1" ht="15.75" x14ac:dyDescent="0.25">
      <c r="B53" s="24">
        <v>52994649</v>
      </c>
      <c r="C53" s="20" t="s">
        <v>32</v>
      </c>
      <c r="D53" s="16" t="s">
        <v>36</v>
      </c>
      <c r="E53" s="22">
        <v>100</v>
      </c>
      <c r="F53" s="22">
        <v>66.67</v>
      </c>
      <c r="G53" s="22">
        <v>100</v>
      </c>
      <c r="H53" s="22">
        <v>97.96</v>
      </c>
      <c r="I53" s="32">
        <v>100</v>
      </c>
      <c r="J53" s="32">
        <v>100</v>
      </c>
      <c r="K53" s="40">
        <v>100</v>
      </c>
      <c r="L53" s="40">
        <v>100</v>
      </c>
      <c r="M53" s="39">
        <v>100</v>
      </c>
      <c r="N53" s="39">
        <v>100</v>
      </c>
      <c r="O53" s="39">
        <v>100</v>
      </c>
      <c r="P53" s="39">
        <v>100</v>
      </c>
      <c r="Q53" s="39">
        <v>66.67</v>
      </c>
      <c r="R53" s="39">
        <v>100</v>
      </c>
      <c r="S53" s="39">
        <v>100</v>
      </c>
      <c r="T53" s="39">
        <v>85.71</v>
      </c>
      <c r="U53" s="39">
        <v>100</v>
      </c>
      <c r="V53" s="39">
        <v>100</v>
      </c>
      <c r="W53" s="39">
        <v>100</v>
      </c>
      <c r="X53" s="39">
        <v>100</v>
      </c>
      <c r="Y53" s="40">
        <v>100</v>
      </c>
      <c r="Z53" s="49">
        <v>93.75</v>
      </c>
      <c r="AA53" s="44">
        <f t="shared" si="0"/>
        <v>96.296666666666681</v>
      </c>
      <c r="AB53" s="44">
        <f t="shared" si="1"/>
        <v>94.35499999999999</v>
      </c>
      <c r="AC53" s="44">
        <f t="shared" si="2"/>
        <v>94.35499999999999</v>
      </c>
      <c r="AD53" s="44">
        <f t="shared" si="3"/>
        <v>95.131666666666661</v>
      </c>
    </row>
    <row r="54" spans="2:30" ht="15.75" x14ac:dyDescent="0.25">
      <c r="B54" s="25">
        <v>52907936</v>
      </c>
      <c r="C54" s="20" t="s">
        <v>32</v>
      </c>
      <c r="D54" s="14" t="s">
        <v>25</v>
      </c>
      <c r="E54" s="37">
        <v>100</v>
      </c>
      <c r="F54" s="37">
        <v>66.67</v>
      </c>
      <c r="G54" s="43">
        <v>100</v>
      </c>
      <c r="H54" s="37">
        <v>100</v>
      </c>
      <c r="I54" s="40">
        <v>100</v>
      </c>
      <c r="J54" s="39">
        <v>100</v>
      </c>
      <c r="K54" s="32">
        <v>100</v>
      </c>
      <c r="L54" s="22" t="s">
        <v>34</v>
      </c>
      <c r="M54" s="32">
        <v>100</v>
      </c>
      <c r="N54" s="32">
        <v>85.71</v>
      </c>
      <c r="O54" s="32">
        <v>100</v>
      </c>
      <c r="P54" s="32">
        <v>100</v>
      </c>
      <c r="Q54" s="32">
        <v>100</v>
      </c>
      <c r="R54" s="32" t="s">
        <v>37</v>
      </c>
      <c r="S54" s="32" t="s">
        <v>37</v>
      </c>
      <c r="T54" s="32" t="s">
        <v>37</v>
      </c>
      <c r="U54" s="32">
        <v>100</v>
      </c>
      <c r="V54" s="32">
        <v>100</v>
      </c>
      <c r="W54" s="32">
        <v>100</v>
      </c>
      <c r="X54" s="32">
        <v>100</v>
      </c>
      <c r="Y54" s="32">
        <v>100</v>
      </c>
      <c r="Z54" s="32">
        <v>100</v>
      </c>
      <c r="AA54" s="50">
        <f t="shared" si="0"/>
        <v>97.778000000000006</v>
      </c>
      <c r="AB54" s="50">
        <f t="shared" si="1"/>
        <v>95.236666666666665</v>
      </c>
      <c r="AC54" s="50">
        <f t="shared" si="2"/>
        <v>95.236666666666665</v>
      </c>
      <c r="AD54" s="50">
        <f t="shared" si="3"/>
        <v>96.253199999999993</v>
      </c>
    </row>
    <row r="55" spans="2:30" ht="15.75" x14ac:dyDescent="0.25">
      <c r="B55" s="29">
        <v>1053855237</v>
      </c>
      <c r="C55" s="30" t="s">
        <v>26</v>
      </c>
      <c r="D55" s="42" t="s">
        <v>25</v>
      </c>
      <c r="E55" s="41" t="s">
        <v>18</v>
      </c>
      <c r="F55" s="41" t="s">
        <v>18</v>
      </c>
      <c r="G55" s="41" t="s">
        <v>18</v>
      </c>
      <c r="H55" s="41" t="s">
        <v>18</v>
      </c>
      <c r="I55" s="41" t="s">
        <v>18</v>
      </c>
      <c r="J55" s="46" t="s">
        <v>18</v>
      </c>
      <c r="K55" s="41" t="s">
        <v>18</v>
      </c>
      <c r="L55" s="45" t="s">
        <v>18</v>
      </c>
      <c r="M55" s="32" t="s">
        <v>18</v>
      </c>
      <c r="N55" s="41" t="s">
        <v>18</v>
      </c>
      <c r="O55" s="32">
        <v>66.67</v>
      </c>
      <c r="P55" s="32">
        <v>100</v>
      </c>
      <c r="Q55" s="32">
        <v>100</v>
      </c>
      <c r="R55" s="32">
        <v>100</v>
      </c>
      <c r="S55" s="32">
        <v>100</v>
      </c>
      <c r="T55" s="32">
        <v>100</v>
      </c>
      <c r="U55" s="32">
        <v>100</v>
      </c>
      <c r="V55" s="32">
        <v>66.67</v>
      </c>
      <c r="W55" s="32">
        <v>100</v>
      </c>
      <c r="X55" s="32">
        <v>100</v>
      </c>
      <c r="Y55" s="32">
        <v>100</v>
      </c>
      <c r="Z55" s="32">
        <v>100</v>
      </c>
      <c r="AA55" s="50">
        <f t="shared" si="0"/>
        <v>93.334000000000003</v>
      </c>
      <c r="AB55" s="50">
        <f t="shared" si="1"/>
        <v>100</v>
      </c>
      <c r="AC55" s="50">
        <f t="shared" si="2"/>
        <v>100</v>
      </c>
      <c r="AD55" s="50">
        <f t="shared" si="3"/>
        <v>97.333600000000004</v>
      </c>
    </row>
    <row r="56" spans="2:30" ht="15.75" x14ac:dyDescent="0.25">
      <c r="E56"/>
      <c r="F56"/>
      <c r="G56"/>
      <c r="H56"/>
      <c r="M56" s="35"/>
      <c r="P56" s="35"/>
      <c r="Q56" s="35"/>
      <c r="T56" s="35"/>
      <c r="V56" s="35"/>
      <c r="Z56" s="35"/>
    </row>
    <row r="57" spans="2:30" ht="15.75" x14ac:dyDescent="0.25">
      <c r="E57"/>
      <c r="F57"/>
      <c r="G57"/>
      <c r="H57"/>
      <c r="L57"/>
      <c r="P57" s="35"/>
      <c r="Q57" s="35"/>
      <c r="T57" s="35"/>
      <c r="V57" s="35"/>
      <c r="Z57" s="35"/>
    </row>
    <row r="58" spans="2:30" x14ac:dyDescent="0.25">
      <c r="E58"/>
      <c r="F58"/>
      <c r="G58"/>
      <c r="H58"/>
      <c r="L58"/>
    </row>
    <row r="59" spans="2:30" x14ac:dyDescent="0.25">
      <c r="E59"/>
      <c r="F59"/>
      <c r="G59"/>
      <c r="H59"/>
      <c r="L59"/>
    </row>
    <row r="60" spans="2:30" x14ac:dyDescent="0.25">
      <c r="E60"/>
      <c r="F60"/>
      <c r="G60"/>
      <c r="H60"/>
      <c r="L60"/>
    </row>
    <row r="61" spans="2:30" x14ac:dyDescent="0.25">
      <c r="E61"/>
      <c r="F61"/>
      <c r="G61"/>
      <c r="H61"/>
      <c r="L61"/>
    </row>
    <row r="62" spans="2:30" x14ac:dyDescent="0.25">
      <c r="E62"/>
      <c r="F62"/>
      <c r="G62"/>
      <c r="H62"/>
      <c r="L62"/>
    </row>
    <row r="63" spans="2:30" x14ac:dyDescent="0.25">
      <c r="E63"/>
      <c r="F63"/>
      <c r="G63"/>
      <c r="H63"/>
      <c r="L63"/>
    </row>
    <row r="64" spans="2:30" x14ac:dyDescent="0.25">
      <c r="E64"/>
      <c r="F64"/>
      <c r="G64"/>
      <c r="H64"/>
      <c r="L64"/>
    </row>
    <row r="65" spans="5:12" x14ac:dyDescent="0.25">
      <c r="E65"/>
      <c r="F65"/>
      <c r="G65"/>
      <c r="H65"/>
      <c r="L65"/>
    </row>
    <row r="66" spans="5:12" x14ac:dyDescent="0.25">
      <c r="E66"/>
      <c r="F66"/>
      <c r="G66"/>
      <c r="H66"/>
      <c r="L66"/>
    </row>
    <row r="67" spans="5:12" x14ac:dyDescent="0.25">
      <c r="E67"/>
      <c r="F67"/>
      <c r="G67"/>
      <c r="H67"/>
      <c r="L67"/>
    </row>
    <row r="68" spans="5:12" x14ac:dyDescent="0.25">
      <c r="E68"/>
      <c r="F68"/>
      <c r="G68"/>
      <c r="H68"/>
      <c r="L68"/>
    </row>
    <row r="69" spans="5:12" x14ac:dyDescent="0.25">
      <c r="E69"/>
      <c r="F69"/>
      <c r="G69"/>
      <c r="H69"/>
      <c r="L69"/>
    </row>
    <row r="70" spans="5:12" x14ac:dyDescent="0.25">
      <c r="E70"/>
      <c r="F70"/>
      <c r="G70"/>
      <c r="H70"/>
      <c r="L70"/>
    </row>
    <row r="71" spans="5:12" x14ac:dyDescent="0.25">
      <c r="E71"/>
      <c r="F71"/>
      <c r="G71"/>
      <c r="H71"/>
      <c r="L71"/>
    </row>
    <row r="72" spans="5:12" x14ac:dyDescent="0.25">
      <c r="E72"/>
      <c r="F72"/>
      <c r="G72"/>
      <c r="H72"/>
      <c r="L72"/>
    </row>
    <row r="73" spans="5:12" x14ac:dyDescent="0.25">
      <c r="E73"/>
      <c r="F73"/>
      <c r="G73"/>
      <c r="H73"/>
      <c r="L73"/>
    </row>
    <row r="74" spans="5:12" x14ac:dyDescent="0.25">
      <c r="E74"/>
      <c r="F74"/>
      <c r="G74"/>
      <c r="H74"/>
      <c r="L74"/>
    </row>
  </sheetData>
  <sortState xmlns:xlrd2="http://schemas.microsoft.com/office/spreadsheetml/2017/richdata2" ref="B9:D42">
    <sortCondition ref="D9:D42"/>
  </sortState>
  <mergeCells count="5">
    <mergeCell ref="B6:D6"/>
    <mergeCell ref="AA7:AA8"/>
    <mergeCell ref="AB7:AB8"/>
    <mergeCell ref="AC4:AC6"/>
    <mergeCell ref="AD4:AD6"/>
  </mergeCells>
  <phoneticPr fontId="36" type="noConversion"/>
  <conditionalFormatting sqref="B7">
    <cfRule type="duplicateValues" dxfId="9" priority="85"/>
    <cfRule type="duplicateValues" dxfId="8" priority="86"/>
  </conditionalFormatting>
  <conditionalFormatting sqref="C7">
    <cfRule type="duplicateValues" dxfId="3" priority="89"/>
    <cfRule type="duplicateValues" dxfId="2" priority="90"/>
  </conditionalFormatting>
  <conditionalFormatting sqref="D7">
    <cfRule type="duplicateValues" dxfId="1" priority="87"/>
    <cfRule type="duplicateValues" dxfId="0" priority="88"/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AB51062A6C1C499AD4CA47A52C07DD" ma:contentTypeVersion="5" ma:contentTypeDescription="Crear nuevo documento." ma:contentTypeScope="" ma:versionID="5e76e54c905a251d544dbae67b85c14a">
  <xsd:schema xmlns:xsd="http://www.w3.org/2001/XMLSchema" xmlns:xs="http://www.w3.org/2001/XMLSchema" xmlns:p="http://schemas.microsoft.com/office/2006/metadata/properties" xmlns:ns2="d734393e-d638-445c-9b88-79d15f935b1d" xmlns:ns3="e6954425-2d34-48e4-8999-50c97190a379" targetNamespace="http://schemas.microsoft.com/office/2006/metadata/properties" ma:root="true" ma:fieldsID="3e95e61c5ebb8068dfadc100b8cc86ec" ns2:_="" ns3:_="">
    <xsd:import namespace="d734393e-d638-445c-9b88-79d15f935b1d"/>
    <xsd:import namespace="e6954425-2d34-48e4-8999-50c97190a3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4393e-d638-445c-9b88-79d15f935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4425-2d34-48e4-8999-50c97190a3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90AB5-3506-476A-A4F9-1B2AEA5ACD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6669A2-228C-43A4-AE74-3C6E3D2D1D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080649-EEC0-4ACF-94AE-827738598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34393e-d638-445c-9b88-79d15f935b1d"/>
    <ds:schemaRef ds:uri="e6954425-2d34-48e4-8999-50c97190a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GIFA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Johanna Villamil Bolivar</dc:creator>
  <cp:keywords/>
  <dc:description/>
  <cp:lastModifiedBy>Ivan Santiago Gonzalez Valderrama</cp:lastModifiedBy>
  <cp:revision/>
  <dcterms:created xsi:type="dcterms:W3CDTF">2022-07-11T16:18:35Z</dcterms:created>
  <dcterms:modified xsi:type="dcterms:W3CDTF">2023-05-02T16:58:00Z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0x01010062AB51062A6C1C499AD4CA47A52C07DD</vt:lpwstr>
  </property>
</Properties>
</file>