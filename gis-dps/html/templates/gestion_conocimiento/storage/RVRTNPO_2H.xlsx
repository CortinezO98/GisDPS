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GonzalezV\Downloads\"/>
    </mc:Choice>
  </mc:AlternateContent>
  <xr:revisionPtr revIDLastSave="0" documentId="13_ncr:1_{D76F2330-DA12-4D0D-9867-DCD8F49344D3}" xr6:coauthVersionLast="47" xr6:coauthVersionMax="47" xr10:uidLastSave="{00000000-0000-0000-0000-000000000000}"/>
  <bookViews>
    <workbookView xWindow="-120" yWindow="-120" windowWidth="20730" windowHeight="11160" tabRatio="769" xr2:uid="{8815DFDA-A08C-4138-9556-9152405D3961}"/>
  </bookViews>
  <sheets>
    <sheet name="INFORME GIFA" sheetId="3" r:id="rId1"/>
  </sheets>
  <definedNames>
    <definedName name="_xlnm._FilterDatabase" localSheetId="0" hidden="1">'INFORME GIFA'!$A$6:$AD$62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3" i="3" l="1"/>
  <c r="AD34" i="3"/>
  <c r="AD35" i="3"/>
  <c r="AD36" i="3"/>
  <c r="AD37" i="3"/>
  <c r="AD38" i="3"/>
  <c r="AD39" i="3"/>
  <c r="AD40" i="3"/>
  <c r="AC33" i="3"/>
  <c r="AF33" i="3" s="1"/>
  <c r="AC34" i="3"/>
  <c r="AC35" i="3"/>
  <c r="AF35" i="3" s="1"/>
  <c r="AC36" i="3"/>
  <c r="AC37" i="3"/>
  <c r="AF37" i="3" s="1"/>
  <c r="AC38" i="3"/>
  <c r="AC39" i="3"/>
  <c r="AF39" i="3" s="1"/>
  <c r="AC40" i="3"/>
  <c r="AC11" i="3"/>
  <c r="AD63" i="3"/>
  <c r="AC63" i="3"/>
  <c r="AD11" i="3"/>
  <c r="AF11" i="3" s="1"/>
  <c r="AD9" i="3"/>
  <c r="AC14" i="3"/>
  <c r="AC9" i="3"/>
  <c r="AF9" i="3"/>
  <c r="AD10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C10" i="3"/>
  <c r="AC12" i="3"/>
  <c r="AC13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F38" i="3" l="1"/>
  <c r="AF36" i="3"/>
  <c r="AF40" i="3"/>
  <c r="AF34" i="3"/>
  <c r="AF63" i="3"/>
  <c r="AF20" i="3" l="1"/>
  <c r="AF42" i="3"/>
  <c r="AF56" i="3"/>
  <c r="AF13" i="3"/>
  <c r="AF26" i="3" l="1"/>
  <c r="AF57" i="3"/>
  <c r="AF49" i="3"/>
  <c r="AF41" i="3"/>
  <c r="AF25" i="3"/>
  <c r="AF16" i="3"/>
  <c r="AF59" i="3"/>
  <c r="AF51" i="3"/>
  <c r="AF43" i="3"/>
  <c r="AF27" i="3"/>
  <c r="AF48" i="3"/>
  <c r="AF32" i="3"/>
  <c r="AF24" i="3"/>
  <c r="AF29" i="3"/>
  <c r="AF55" i="3"/>
  <c r="AF22" i="3"/>
  <c r="AF19" i="3"/>
  <c r="AF60" i="3"/>
  <c r="AF52" i="3"/>
  <c r="AF17" i="3"/>
  <c r="AF47" i="3"/>
  <c r="AF14" i="3"/>
  <c r="AF62" i="3"/>
  <c r="AF54" i="3"/>
  <c r="AF46" i="3"/>
  <c r="AF30" i="3"/>
  <c r="AF12" i="3"/>
  <c r="AF45" i="3"/>
  <c r="AF21" i="3"/>
  <c r="AF58" i="3"/>
  <c r="AF50" i="3"/>
  <c r="AF44" i="3"/>
  <c r="AF28" i="3"/>
  <c r="AF15" i="3"/>
  <c r="AF61" i="3"/>
  <c r="AF53" i="3"/>
  <c r="AF31" i="3"/>
  <c r="AF23" i="3"/>
  <c r="AF18" i="3"/>
  <c r="AF10" i="3"/>
</calcChain>
</file>

<file path=xl/sharedStrings.xml><?xml version="1.0" encoding="utf-8"?>
<sst xmlns="http://schemas.openxmlformats.org/spreadsheetml/2006/main" count="135" uniqueCount="30">
  <si>
    <t>JEFE INMEDIATO</t>
  </si>
  <si>
    <t>MIERCOLES</t>
  </si>
  <si>
    <t>JUEVES</t>
  </si>
  <si>
    <t>VIERNES</t>
  </si>
  <si>
    <t>EVALUACIÓN</t>
  </si>
  <si>
    <t>LUNES</t>
  </si>
  <si>
    <t>MARTES</t>
  </si>
  <si>
    <t>PROMEDIO
PRE TURNOS</t>
  </si>
  <si>
    <t>PROMEDIO EVALUACIONES</t>
  </si>
  <si>
    <t>NOTA FINAL FORMACIÓN</t>
  </si>
  <si>
    <t>SEMANA 1</t>
  </si>
  <si>
    <t>SEMANA 2</t>
  </si>
  <si>
    <t>SEMANA 3</t>
  </si>
  <si>
    <t>EVA FINAL</t>
  </si>
  <si>
    <t>ECA</t>
  </si>
  <si>
    <t>FINAL</t>
  </si>
  <si>
    <t>INC</t>
  </si>
  <si>
    <t>DF</t>
  </si>
  <si>
    <t>NV</t>
  </si>
  <si>
    <t>ECA 
INFORME
CLIENTE</t>
  </si>
  <si>
    <t>ECA 
EVALUACIÓN DESEMPEÑO</t>
  </si>
  <si>
    <t>NOTA 
FINAL</t>
  </si>
  <si>
    <t>ALBERTO CARVAJAL</t>
  </si>
  <si>
    <t>CLARA AGUILAR</t>
  </si>
  <si>
    <t>DIANA JACKELINE RIVEROS</t>
  </si>
  <si>
    <t xml:space="preserve">DETALLE DE NOTAS PLANTA INSCRIPCIONES FA </t>
  </si>
  <si>
    <t>CÉDULA</t>
  </si>
  <si>
    <t>SANDRA MILENA GUALTEROS CASTRO</t>
  </si>
  <si>
    <t>LAURA JUDITH OSTOR GOMEZ</t>
  </si>
  <si>
    <t>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</si>
</sst>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&quot;$&quot;\ * #,##0_);_(&quot;$&quot;\ * \(#,##0\);_(&quot;$&quot;\ * &quot;-&quot;_);_(@_)"/>
    <numFmt numFmtId="165" formatCode="_(&quot;$&quot;\ * #,##0.00_);_(&quot;$&quot;\ * \(#,##0.00\);_(&quot;$&quot;\ * &quot;-&quot;??_);_(@_)"/>
    <numFmt numFmtId="166" formatCode="_-&quot;$&quot;* #,##0.00_-;\-&quot;$&quot;* #,##0.00_-;_-&quot;$&quot;* &quot;-&quot;??_-;_-@_-"/>
  </numFmts>
  <fonts count="42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9"/>
      <color theme="0"/>
      <name val="Tahoma"/>
      <family val="2"/>
    </font>
    <font>
      <b/>
      <sz val="9"/>
      <color theme="0"/>
      <name val="Calibri Light"/>
      <family val="2"/>
      <scheme val="maj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entury Gothic"/>
      <family val="2"/>
    </font>
    <font>
      <u/>
      <sz val="10"/>
      <color theme="10"/>
      <name val="Century Gothic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000000"/>
      <name val="Calibri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FFFF"/>
      <name val="Tahoma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 Light"/>
      <family val="2"/>
    </font>
  </fonts>
  <fills count="4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89">
    <xf numFmtId="0" fontId="0" fillId="0" borderId="0"/>
    <xf numFmtId="0" fontId="8" fillId="0" borderId="0" applyNumberFormat="0" applyFill="0" applyBorder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11" applyNumberFormat="0" applyAlignment="0" applyProtection="0"/>
    <xf numFmtId="0" fontId="16" fillId="11" borderId="12" applyNumberFormat="0" applyAlignment="0" applyProtection="0"/>
    <xf numFmtId="0" fontId="17" fillId="11" borderId="11" applyNumberFormat="0" applyAlignment="0" applyProtection="0"/>
    <xf numFmtId="0" fontId="18" fillId="0" borderId="13" applyNumberFormat="0" applyFill="0" applyAlignment="0" applyProtection="0"/>
    <xf numFmtId="0" fontId="19" fillId="12" borderId="14" applyNumberFormat="0" applyAlignment="0" applyProtection="0"/>
    <xf numFmtId="0" fontId="20" fillId="0" borderId="0" applyNumberFormat="0" applyFill="0" applyBorder="0" applyAlignment="0" applyProtection="0"/>
    <xf numFmtId="0" fontId="5" fillId="13" borderId="15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6" applyNumberFormat="0" applyFill="0" applyAlignment="0" applyProtection="0"/>
    <xf numFmtId="0" fontId="23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3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3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3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3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23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24" fillId="0" borderId="0" applyBorder="0" applyProtection="0"/>
    <xf numFmtId="0" fontId="25" fillId="0" borderId="0" applyNumberForma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>
      <alignment vertical="top"/>
      <protection locked="0"/>
    </xf>
    <xf numFmtId="165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9" fillId="0" borderId="0"/>
    <xf numFmtId="0" fontId="29" fillId="0" borderId="0"/>
    <xf numFmtId="0" fontId="5" fillId="0" borderId="0"/>
    <xf numFmtId="166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5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4" fillId="9" borderId="0" applyNumberFormat="0" applyBorder="0" applyAlignment="0" applyProtection="0"/>
    <xf numFmtId="0" fontId="5" fillId="17" borderId="0" applyNumberFormat="0" applyBorder="0" applyAlignment="0" applyProtection="0"/>
    <xf numFmtId="0" fontId="5" fillId="21" borderId="0" applyNumberFormat="0" applyBorder="0" applyAlignment="0" applyProtection="0"/>
    <xf numFmtId="0" fontId="5" fillId="25" borderId="0" applyNumberFormat="0" applyBorder="0" applyAlignment="0" applyProtection="0"/>
    <xf numFmtId="0" fontId="5" fillId="29" borderId="0" applyNumberFormat="0" applyBorder="0" applyAlignment="0" applyProtection="0"/>
    <xf numFmtId="0" fontId="5" fillId="33" borderId="0" applyNumberFormat="0" applyBorder="0" applyAlignment="0" applyProtection="0"/>
    <xf numFmtId="0" fontId="5" fillId="37" borderId="0" applyNumberFormat="0" applyBorder="0" applyAlignment="0" applyProtection="0"/>
    <xf numFmtId="165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30" fillId="0" borderId="0"/>
    <xf numFmtId="0" fontId="31" fillId="0" borderId="0" applyNumberFormat="0" applyFill="0" applyBorder="0" applyAlignment="0" applyProtection="0"/>
    <xf numFmtId="0" fontId="5" fillId="0" borderId="0"/>
  </cellStyleXfs>
  <cellXfs count="51">
    <xf numFmtId="0" fontId="0" fillId="0" borderId="0" xfId="0"/>
    <xf numFmtId="0" fontId="0" fillId="6" borderId="0" xfId="0" applyFill="1"/>
    <xf numFmtId="0" fontId="35" fillId="5" borderId="5" xfId="0" applyFont="1" applyFill="1" applyBorder="1" applyAlignment="1" applyProtection="1">
      <alignment horizontal="center" vertical="center" wrapText="1"/>
      <protection locked="0"/>
    </xf>
    <xf numFmtId="0" fontId="35" fillId="5" borderId="5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0" fontId="35" fillId="5" borderId="6" xfId="0" applyFont="1" applyFill="1" applyBorder="1" applyAlignment="1" applyProtection="1">
      <alignment horizontal="center" vertical="center"/>
      <protection locked="0"/>
    </xf>
    <xf numFmtId="1" fontId="2" fillId="4" borderId="21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/>
    </xf>
    <xf numFmtId="0" fontId="32" fillId="0" borderId="19" xfId="0" applyFont="1" applyBorder="1" applyAlignment="1">
      <alignment horizontal="center"/>
    </xf>
    <xf numFmtId="0" fontId="2" fillId="4" borderId="29" xfId="0" applyFont="1" applyFill="1" applyBorder="1" applyAlignment="1">
      <alignment horizontal="center" vertical="center" wrapText="1"/>
    </xf>
    <xf numFmtId="0" fontId="35" fillId="5" borderId="6" xfId="0" applyFont="1" applyFill="1" applyBorder="1" applyAlignment="1" applyProtection="1">
      <alignment horizontal="center" vertical="center" wrapText="1"/>
      <protection locked="0"/>
    </xf>
    <xf numFmtId="0" fontId="0" fillId="6" borderId="19" xfId="0" applyFill="1" applyBorder="1"/>
    <xf numFmtId="0" fontId="0" fillId="0" borderId="19" xfId="0" applyBorder="1"/>
    <xf numFmtId="0" fontId="40" fillId="2" borderId="19" xfId="0" applyFont="1" applyFill="1" applyBorder="1" applyAlignment="1">
      <alignment horizontal="center"/>
    </xf>
    <xf numFmtId="1" fontId="4" fillId="39" borderId="19" xfId="0" applyNumberFormat="1" applyFont="1" applyFill="1" applyBorder="1" applyAlignment="1">
      <alignment horizontal="center" vertical="center"/>
    </xf>
    <xf numFmtId="1" fontId="4" fillId="2" borderId="19" xfId="0" applyNumberFormat="1" applyFont="1" applyFill="1" applyBorder="1" applyAlignment="1">
      <alignment horizontal="center" vertical="center"/>
    </xf>
    <xf numFmtId="0" fontId="41" fillId="0" borderId="28" xfId="0" applyFont="1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39" fillId="0" borderId="19" xfId="0" applyFont="1" applyBorder="1" applyAlignment="1">
      <alignment horizontal="center"/>
    </xf>
    <xf numFmtId="0" fontId="39" fillId="38" borderId="19" xfId="0" applyFont="1" applyFill="1" applyBorder="1" applyAlignment="1">
      <alignment horizontal="center"/>
    </xf>
    <xf numFmtId="0" fontId="32" fillId="2" borderId="19" xfId="0" applyFont="1" applyFill="1" applyBorder="1" applyAlignment="1">
      <alignment horizontal="center"/>
    </xf>
    <xf numFmtId="1" fontId="7" fillId="2" borderId="19" xfId="0" applyNumberFormat="1" applyFont="1" applyFill="1" applyBorder="1" applyAlignment="1">
      <alignment horizontal="center" vertical="center"/>
    </xf>
    <xf numFmtId="0" fontId="38" fillId="0" borderId="19" xfId="0" applyFont="1" applyBorder="1" applyAlignment="1">
      <alignment horizontal="center"/>
    </xf>
    <xf numFmtId="0" fontId="39" fillId="38" borderId="19" xfId="0" applyFont="1" applyFill="1" applyBorder="1" applyAlignment="1">
      <alignment horizontal="center" wrapText="1"/>
    </xf>
    <xf numFmtId="14" fontId="2" fillId="4" borderId="32" xfId="0" applyNumberFormat="1" applyFont="1" applyFill="1" applyBorder="1" applyAlignment="1">
      <alignment horizontal="center" vertical="center"/>
    </xf>
    <xf numFmtId="9" fontId="2" fillId="4" borderId="18" xfId="0" applyNumberFormat="1" applyFont="1" applyFill="1" applyBorder="1" applyAlignment="1">
      <alignment horizontal="center" vertical="center"/>
    </xf>
    <xf numFmtId="1" fontId="2" fillId="4" borderId="35" xfId="0" applyNumberFormat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41" borderId="1" xfId="0" applyFont="1" applyFill="1" applyBorder="1" applyAlignment="1">
      <alignment horizontal="center"/>
    </xf>
    <xf numFmtId="0" fontId="37" fillId="41" borderId="2" xfId="0" applyFont="1" applyFill="1" applyBorder="1" applyAlignment="1">
      <alignment horizontal="center"/>
    </xf>
    <xf numFmtId="0" fontId="37" fillId="42" borderId="1" xfId="0" applyFont="1" applyFill="1" applyBorder="1" applyAlignment="1">
      <alignment horizontal="center"/>
    </xf>
    <xf numFmtId="0" fontId="37" fillId="42" borderId="2" xfId="0" applyFont="1" applyFill="1" applyBorder="1" applyAlignment="1">
      <alignment horizontal="center"/>
    </xf>
    <xf numFmtId="0" fontId="36" fillId="42" borderId="2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34" fillId="40" borderId="25" xfId="0" applyFont="1" applyFill="1" applyBorder="1" applyAlignment="1">
      <alignment horizontal="center" vertical="center" wrapText="1"/>
    </xf>
    <xf numFmtId="0" fontId="34" fillId="40" borderId="27" xfId="0" applyFont="1" applyFill="1" applyBorder="1" applyAlignment="1">
      <alignment horizontal="center" vertical="center" wrapText="1"/>
    </xf>
    <xf numFmtId="0" fontId="33" fillId="40" borderId="22" xfId="0" applyFont="1" applyFill="1" applyBorder="1" applyAlignment="1">
      <alignment horizontal="center" vertical="center" wrapText="1"/>
    </xf>
    <xf numFmtId="0" fontId="33" fillId="40" borderId="24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31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 wrapText="1"/>
    </xf>
    <xf numFmtId="0" fontId="34" fillId="40" borderId="26" xfId="0" applyFont="1" applyFill="1" applyBorder="1" applyAlignment="1">
      <alignment horizontal="center" vertical="center" wrapText="1"/>
    </xf>
    <xf numFmtId="0" fontId="33" fillId="40" borderId="23" xfId="0" applyFont="1" applyFill="1" applyBorder="1" applyAlignment="1">
      <alignment horizontal="center" vertical="center" wrapText="1"/>
    </xf>
  </cellXfs>
  <cellStyles count="89">
    <cellStyle name="_Asistencias y Eva__control citaciones_COMCEL_control citaciones" xfId="48" xr:uid="{90136D97-E481-4D4E-A6A3-E0B295D90733}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1 2" xfId="62" xr:uid="{2C0D7C08-9991-4EDA-8811-8448568138B3}"/>
    <cellStyle name="60% - Énfasis2" xfId="25" builtinId="36" customBuiltin="1"/>
    <cellStyle name="60% - Énfasis2 2" xfId="63" xr:uid="{3D95F24A-2CCE-405C-9EDB-6542590D58B4}"/>
    <cellStyle name="60% - Énfasis3" xfId="29" builtinId="40" customBuiltin="1"/>
    <cellStyle name="60% - Énfasis3 2" xfId="64" xr:uid="{96C196AB-40D2-48DA-B9C5-F4FDCD0B9722}"/>
    <cellStyle name="60% - Énfasis4" xfId="33" builtinId="44" customBuiltin="1"/>
    <cellStyle name="60% - Énfasis4 2" xfId="65" xr:uid="{9E9F88BD-69D3-4B48-8C06-71440955310A}"/>
    <cellStyle name="60% - Énfasis5" xfId="37" builtinId="48" customBuiltin="1"/>
    <cellStyle name="60% - Énfasis5 2" xfId="66" xr:uid="{F870A8B2-6046-44AF-AF46-846335A191FB}"/>
    <cellStyle name="60% - Énfasis6" xfId="41" builtinId="52" customBuiltin="1"/>
    <cellStyle name="60% - Énfasis6 2" xfId="67" xr:uid="{360AE76C-EFF1-4D11-94A5-0B9D92B74FFB}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Excel Built-in Normal" xfId="42" xr:uid="{4E8CB045-CD1F-4D48-91EE-9CC1813C7069}"/>
    <cellStyle name="Hipervínculo 2" xfId="43" xr:uid="{9FF7D309-44B1-4598-9501-4AA5204923F5}"/>
    <cellStyle name="Hipervínculo 3" xfId="45" xr:uid="{0E3D7610-A7E7-4DC6-B561-63016D09A19F}"/>
    <cellStyle name="Hipervínculo 4" xfId="87" xr:uid="{83AD1B36-E548-421D-9E74-F8C3A3B573F3}"/>
    <cellStyle name="Hyperlink" xfId="55" xr:uid="{FDE2FFE8-36EF-4BC7-8DF5-3FA6BADB15B9}"/>
    <cellStyle name="Incorrecto" xfId="7" builtinId="27" customBuiltin="1"/>
    <cellStyle name="Millares 2" xfId="47" xr:uid="{36B075B3-1D18-43D8-A1F8-B3B919522629}"/>
    <cellStyle name="Moneda [0] 2" xfId="53" xr:uid="{ECDC46DF-5FF5-43BF-BE93-5CC0F691205F}"/>
    <cellStyle name="Moneda [0] 2 2" xfId="70" xr:uid="{36EA8AEB-397F-432A-94FD-CC29FB74E161}"/>
    <cellStyle name="Moneda [0] 3" xfId="81" xr:uid="{2CAB4484-43E3-46C4-BF38-BF0D710B9775}"/>
    <cellStyle name="Moneda [0] 4" xfId="59" xr:uid="{A5EC2892-21DD-4453-861A-1AFA80C13584}"/>
    <cellStyle name="Moneda 10" xfId="78" xr:uid="{BACE0C89-D276-4B66-9DB2-00B20196094E}"/>
    <cellStyle name="Moneda 11" xfId="73" xr:uid="{12C8CA26-6FAC-4416-B157-664230CB6044}"/>
    <cellStyle name="Moneda 12" xfId="80" xr:uid="{1A9384E3-6FC1-429D-94BE-693DA9B4A11A}"/>
    <cellStyle name="Moneda 13" xfId="85" xr:uid="{80AA45BD-9445-488A-89F3-DAAFF07559AD}"/>
    <cellStyle name="Moneda 14" xfId="82" xr:uid="{613186B3-D451-4E70-AF6C-7916B96C1AE2}"/>
    <cellStyle name="Moneda 15" xfId="83" xr:uid="{313BB9BF-354E-4FAB-A8FB-30B3303F7E76}"/>
    <cellStyle name="Moneda 16" xfId="84" xr:uid="{03A2E4D3-9E6C-4632-A8D0-194977C233BB}"/>
    <cellStyle name="Moneda 17" xfId="58" xr:uid="{2278AAC5-BB02-4C25-9689-BEA38802F94B}"/>
    <cellStyle name="Moneda 18" xfId="56" xr:uid="{CF76DDAB-3A1C-4465-A4EC-28E936CE7F3C}"/>
    <cellStyle name="Moneda 19" xfId="60" xr:uid="{06EA6F4F-5BA7-440D-B817-816A1F5412B0}"/>
    <cellStyle name="Moneda 2" xfId="51" xr:uid="{29FD6DF7-D9DD-4FD0-8431-8F5E6F355D46}"/>
    <cellStyle name="Moneda 3" xfId="52" xr:uid="{E992F64C-7026-4989-9103-F0D6A3891764}"/>
    <cellStyle name="Moneda 3 2" xfId="69" xr:uid="{A65656D4-3E92-46E6-A332-6359FADA9CD7}"/>
    <cellStyle name="Moneda 4" xfId="54" xr:uid="{6A9463FD-9245-4F59-B938-74B6FC56AC8C}"/>
    <cellStyle name="Moneda 4 2" xfId="72" xr:uid="{66C5F934-2452-44CC-8C38-25FB6CB0864A}"/>
    <cellStyle name="Moneda 5" xfId="74" xr:uid="{4B64D1B2-851D-4A8E-9055-58F32D2314DB}"/>
    <cellStyle name="Moneda 6" xfId="75" xr:uid="{B196927F-8B05-4714-A13A-FC6F82701488}"/>
    <cellStyle name="Moneda 7" xfId="76" xr:uid="{E7DAFC49-7138-4F35-A894-A7F89E481AD0}"/>
    <cellStyle name="Moneda 8" xfId="71" xr:uid="{5DF99286-C0FD-4480-A55A-3480A0B063DC}"/>
    <cellStyle name="Moneda 9" xfId="77" xr:uid="{FA1BDFDB-D96A-4439-A6FE-60A01DA77441}"/>
    <cellStyle name="Moneda 9 3 2" xfId="46" xr:uid="{5F26C816-210D-4138-A359-B22EE2E2977B}"/>
    <cellStyle name="Moneda 9 3 2 2" xfId="79" xr:uid="{5CD190E7-7A35-4B3B-ACA8-08B6EFD1D41B}"/>
    <cellStyle name="Moneda 9 3 2 3" xfId="68" xr:uid="{DB91F179-A680-46B6-9B07-704797B8648F}"/>
    <cellStyle name="Moneda 9 3 2 4" xfId="57" xr:uid="{A770A954-9872-46C0-B0B8-4CF54417165E}"/>
    <cellStyle name="Neutral" xfId="8" builtinId="28" customBuiltin="1"/>
    <cellStyle name="Neutral 2" xfId="61" xr:uid="{70B19122-9FDB-448F-AD04-B0903B755932}"/>
    <cellStyle name="Normal" xfId="0" builtinId="0"/>
    <cellStyle name="Normal 10" xfId="50" xr:uid="{21AD8EAE-74DD-4744-84F8-35CC8C8288D2}"/>
    <cellStyle name="Normal 12" xfId="49" xr:uid="{8D5030CC-6540-4A86-95E6-69AB647FC3CC}"/>
    <cellStyle name="Normal 2" xfId="44" xr:uid="{DEB6169A-F2D3-4121-9374-3ED0FC780E8F}"/>
    <cellStyle name="Normal 3" xfId="86" xr:uid="{06482624-803D-451E-99AC-4636213EDB76}"/>
    <cellStyle name="Normal 8" xfId="88" xr:uid="{3B87B1E1-7566-4FAD-88F5-FC8FD0A65E29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FB0FA"/>
      <color rgb="FFF07C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I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228600</xdr:colOff>
      <xdr:row>1</xdr:row>
      <xdr:rowOff>47625</xdr:rowOff>
    </xdr:from>
    <xdr:to>
      <xdr:col>2</xdr:col>
      <xdr:colOff>704850</xdr:colOff>
      <xdr:row>4</xdr:row>
      <xdr:rowOff>19050</xdr:rowOff>
    </xdr:to>
    <xdr:pic>
      <xdr:nvPicPr>
        <xdr:cNvPr id="2" name="Imagen 7">
          <a:extLst>
            <a:ext uri="{FF2B5EF4-FFF2-40B4-BE49-F238E27FC236}">
              <a16:creationId xmlns:a16="http://schemas.microsoft.com/office/drawing/2014/main" id="{1DF2F469-6FC1-40F6-AE72-0B84BEB67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1" r="-2" b="9738"/>
        <a:stretch>
          <a:fillRect/>
        </a:stretch>
      </xdr:blipFill>
      <xdr:spPr bwMode="auto">
        <a:xfrm>
          <a:off x="952500" y="238125"/>
          <a:ext cx="2019300" cy="542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101600</xdr:colOff>
      <xdr:row>1</xdr:row>
      <xdr:rowOff>63500</xdr:rowOff>
    </xdr:from>
    <xdr:to>
      <xdr:col>0</xdr:col>
      <xdr:colOff>706718</xdr:colOff>
      <xdr:row>3</xdr:row>
      <xdr:rowOff>68730</xdr:rowOff>
    </xdr:to>
    <xdr:sp macro="" textlink="">
      <xdr:nvSpPr>
        <xdr:cNvPr id="3" name="Flecha: hacia la izquierda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3BDC56E-41F2-42E6-AADA-4017B4EE3001}"/>
            </a:ext>
            <a:ext uri="{147F2762-F138-4A5C-976F-8EAC2B608ADB}">
              <a16:predDERef xmlns:a16="http://schemas.microsoft.com/office/drawing/2014/main" pred="{1DF2F469-6FC1-40F6-AE72-0B84BEB67E38}"/>
            </a:ext>
          </a:extLst>
        </xdr:cNvPr>
        <xdr:cNvSpPr/>
      </xdr:nvSpPr>
      <xdr:spPr>
        <a:xfrm>
          <a:off x="101600" y="247650"/>
          <a:ext cx="605118" cy="373530"/>
        </a:xfrm>
        <a:prstGeom prst="leftArrow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700"/>
            <a:t>VOLVER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F05D-AAA4-4CE3-969A-8938B9D44536}">
  <sheetPr>
    <tabColor theme="5" tint="0.79998168889431442"/>
  </sheetPr>
  <dimension ref="B1:AF63"/>
  <sheetViews>
    <sheetView showGridLines="0" tabSelected="1" zoomScale="70" zoomScaleNormal="70" workbookViewId="0">
      <pane xSplit="3" ySplit="8" topLeftCell="D9" activePane="bottomRight" state="frozen"/>
      <selection pane="topRight" activeCell="G1" sqref="G1"/>
      <selection pane="bottomLeft" activeCell="A9" sqref="A9"/>
      <selection pane="bottomRight" activeCell="C1" sqref="C1:E1048576"/>
    </sheetView>
  </sheetViews>
  <sheetFormatPr baseColWidth="10" defaultColWidth="10.85546875" defaultRowHeight="15" x14ac:dyDescent="0.25"/>
  <cols>
    <col min="1" max="1" width="10.85546875" style="1"/>
    <col min="2" max="2" width="23.140625" style="1" customWidth="1"/>
    <col min="3" max="3" width="31.28515625" style="1" customWidth="1"/>
    <col min="4" max="6" width="10.85546875" style="1" customWidth="1"/>
    <col min="7" max="7" width="10.85546875" style="1"/>
    <col min="11" max="11" width="10.85546875" style="1"/>
    <col min="16" max="16" width="9.140625"/>
    <col min="22" max="22" width="12.140625" customWidth="1"/>
    <col min="26" max="26" width="13" style="1" customWidth="1"/>
    <col min="27" max="27" width="13.140625" style="1" customWidth="1"/>
    <col min="29" max="29" width="13.28515625" style="1" customWidth="1"/>
    <col min="30" max="30" width="13.140625" style="1" customWidth="1"/>
    <col min="31" max="16384" width="10.85546875" style="1"/>
  </cols>
  <sheetData>
    <row r="1" spans="2:32" x14ac:dyDescent="0.25">
      <c r="H1" s="1"/>
      <c r="I1" s="1"/>
      <c r="J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AB1" s="1"/>
    </row>
    <row r="2" spans="2:32" x14ac:dyDescent="0.25">
      <c r="H2" s="1"/>
      <c r="I2" s="1"/>
      <c r="J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AB2" s="1"/>
    </row>
    <row r="3" spans="2:32" ht="15" customHeight="1" thickBot="1" x14ac:dyDescent="0.3">
      <c r="H3" s="1"/>
      <c r="I3" s="1"/>
      <c r="J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AB3" s="1"/>
    </row>
    <row r="4" spans="2:32" x14ac:dyDescent="0.25">
      <c r="H4" s="1"/>
      <c r="I4" s="1"/>
      <c r="J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AB4" s="1"/>
      <c r="AE4" s="41" t="s">
        <v>19</v>
      </c>
      <c r="AF4" s="43" t="s">
        <v>20</v>
      </c>
    </row>
    <row r="5" spans="2:32" x14ac:dyDescent="0.25">
      <c r="H5" s="1"/>
      <c r="I5" s="1"/>
      <c r="J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AB5" s="1"/>
      <c r="AE5" s="49"/>
      <c r="AF5" s="50"/>
    </row>
    <row r="6" spans="2:32" ht="15.75" thickBot="1" x14ac:dyDescent="0.3">
      <c r="B6" s="39" t="s">
        <v>25</v>
      </c>
      <c r="C6" s="40"/>
      <c r="H6" s="1"/>
      <c r="I6" s="1"/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AB6" s="1"/>
      <c r="AE6" s="42"/>
      <c r="AF6" s="44"/>
    </row>
    <row r="7" spans="2:32" ht="39.950000000000003" customHeight="1" thickBot="1" x14ac:dyDescent="0.3">
      <c r="B7" s="4" t="s">
        <v>26</v>
      </c>
      <c r="C7" s="4" t="s">
        <v>0</v>
      </c>
      <c r="D7" s="3" t="s">
        <v>1</v>
      </c>
      <c r="E7" s="3" t="s">
        <v>2</v>
      </c>
      <c r="F7" s="3" t="s">
        <v>3</v>
      </c>
      <c r="G7" s="2" t="s">
        <v>5</v>
      </c>
      <c r="H7" s="2" t="s">
        <v>6</v>
      </c>
      <c r="I7" s="2" t="s">
        <v>1</v>
      </c>
      <c r="J7" s="3" t="s">
        <v>2</v>
      </c>
      <c r="K7" s="3" t="s">
        <v>4</v>
      </c>
      <c r="L7" s="3" t="s">
        <v>3</v>
      </c>
      <c r="M7" s="2" t="s">
        <v>5</v>
      </c>
      <c r="N7" s="2" t="s">
        <v>6</v>
      </c>
      <c r="O7" s="2" t="s">
        <v>1</v>
      </c>
      <c r="P7" s="3" t="s">
        <v>4</v>
      </c>
      <c r="Q7" s="3" t="s">
        <v>2</v>
      </c>
      <c r="R7" s="3" t="s">
        <v>3</v>
      </c>
      <c r="S7" s="2" t="s">
        <v>5</v>
      </c>
      <c r="T7" s="2" t="s">
        <v>6</v>
      </c>
      <c r="U7" s="2" t="s">
        <v>1</v>
      </c>
      <c r="V7" s="3" t="s">
        <v>4</v>
      </c>
      <c r="W7" s="3" t="s">
        <v>2</v>
      </c>
      <c r="X7" s="3" t="s">
        <v>3</v>
      </c>
      <c r="Y7" s="2" t="s">
        <v>5</v>
      </c>
      <c r="Z7" s="11" t="s">
        <v>6</v>
      </c>
      <c r="AA7" s="6" t="s">
        <v>3</v>
      </c>
      <c r="AB7" s="3" t="s">
        <v>4</v>
      </c>
      <c r="AC7" s="45" t="s">
        <v>7</v>
      </c>
      <c r="AD7" s="47" t="s">
        <v>8</v>
      </c>
      <c r="AE7" s="10" t="s">
        <v>21</v>
      </c>
      <c r="AF7" s="7" t="s">
        <v>9</v>
      </c>
    </row>
    <row r="8" spans="2:32" x14ac:dyDescent="0.25">
      <c r="B8" s="17"/>
      <c r="C8" s="18"/>
      <c r="D8" s="5">
        <v>44958</v>
      </c>
      <c r="E8" s="5">
        <v>44959</v>
      </c>
      <c r="F8" s="5">
        <v>44960</v>
      </c>
      <c r="G8" s="5">
        <v>44963</v>
      </c>
      <c r="H8" s="5">
        <v>44964</v>
      </c>
      <c r="I8" s="5">
        <v>44965</v>
      </c>
      <c r="J8" s="5">
        <v>44966</v>
      </c>
      <c r="K8" s="8" t="s">
        <v>10</v>
      </c>
      <c r="L8" s="5">
        <v>44967</v>
      </c>
      <c r="M8" s="5">
        <v>44970</v>
      </c>
      <c r="N8" s="5">
        <v>44971</v>
      </c>
      <c r="O8" s="5">
        <v>44972</v>
      </c>
      <c r="P8" s="8" t="s">
        <v>11</v>
      </c>
      <c r="Q8" s="5">
        <v>44973</v>
      </c>
      <c r="R8" s="5">
        <v>44974</v>
      </c>
      <c r="S8" s="5">
        <v>44977</v>
      </c>
      <c r="T8" s="5">
        <v>44978</v>
      </c>
      <c r="U8" s="5">
        <v>44979</v>
      </c>
      <c r="V8" s="8" t="s">
        <v>12</v>
      </c>
      <c r="W8" s="5">
        <v>44980</v>
      </c>
      <c r="X8" s="5">
        <v>44981</v>
      </c>
      <c r="Y8" s="5">
        <v>44984</v>
      </c>
      <c r="Z8" s="5">
        <v>44985</v>
      </c>
      <c r="AA8" s="25">
        <v>44957</v>
      </c>
      <c r="AB8" s="8" t="s">
        <v>13</v>
      </c>
      <c r="AC8" s="46"/>
      <c r="AD8" s="48"/>
      <c r="AE8" s="26" t="s">
        <v>14</v>
      </c>
      <c r="AF8" s="27" t="s">
        <v>15</v>
      </c>
    </row>
    <row r="9" spans="2:32" ht="15.75" x14ac:dyDescent="0.25">
      <c r="B9" s="19">
        <v>1032447625</v>
      </c>
      <c r="C9" s="9" t="s">
        <v>23</v>
      </c>
      <c r="D9" s="28">
        <v>66.66</v>
      </c>
      <c r="E9" s="29">
        <v>100</v>
      </c>
      <c r="F9" s="29">
        <v>0</v>
      </c>
      <c r="G9" s="29">
        <v>100</v>
      </c>
      <c r="H9" s="29">
        <v>100</v>
      </c>
      <c r="I9" s="29">
        <v>100</v>
      </c>
      <c r="J9" s="29">
        <v>100</v>
      </c>
      <c r="K9" s="34">
        <v>100</v>
      </c>
      <c r="L9" s="28">
        <v>100</v>
      </c>
      <c r="M9" s="29">
        <v>100</v>
      </c>
      <c r="N9" s="29">
        <v>100</v>
      </c>
      <c r="O9" s="29">
        <v>100</v>
      </c>
      <c r="P9" s="34">
        <v>94.28</v>
      </c>
      <c r="Q9" s="28">
        <v>100</v>
      </c>
      <c r="R9" s="29">
        <v>0</v>
      </c>
      <c r="S9" s="28">
        <v>100</v>
      </c>
      <c r="T9" s="29">
        <v>100</v>
      </c>
      <c r="U9" s="29">
        <v>100</v>
      </c>
      <c r="V9" s="36">
        <v>100</v>
      </c>
      <c r="W9" s="28">
        <v>0</v>
      </c>
      <c r="X9" s="29">
        <v>100</v>
      </c>
      <c r="Y9" s="9"/>
      <c r="Z9" s="9"/>
      <c r="AA9" s="9"/>
      <c r="AB9" s="21"/>
      <c r="AC9" s="15">
        <f t="shared" ref="AC9:AC32" si="0">AVERAGE(D9:J9,L9:O9,Q9:U9,W9:AA9)</f>
        <v>81.481111111111105</v>
      </c>
      <c r="AD9" s="16">
        <f t="shared" ref="AD9:AD32" si="1">AVERAGE(K9,P9,V9,AB9)</f>
        <v>98.09333333333332</v>
      </c>
      <c r="AE9" s="22"/>
      <c r="AF9" s="16">
        <f>(AC9*40%)+(AD9*60%)</f>
        <v>91.448444444444434</v>
      </c>
    </row>
    <row r="10" spans="2:32" ht="15.75" x14ac:dyDescent="0.25">
      <c r="B10" s="19">
        <v>1074556922</v>
      </c>
      <c r="C10" s="9" t="s">
        <v>23</v>
      </c>
      <c r="D10" s="30">
        <v>100</v>
      </c>
      <c r="E10" s="31">
        <v>100</v>
      </c>
      <c r="F10" s="31">
        <v>0</v>
      </c>
      <c r="G10" s="31">
        <v>75</v>
      </c>
      <c r="H10" s="31">
        <v>100</v>
      </c>
      <c r="I10" s="31">
        <v>100</v>
      </c>
      <c r="J10" s="31">
        <v>100</v>
      </c>
      <c r="K10" s="35">
        <v>100</v>
      </c>
      <c r="L10" s="30">
        <v>100</v>
      </c>
      <c r="M10" s="31">
        <v>100</v>
      </c>
      <c r="N10" s="31">
        <v>100</v>
      </c>
      <c r="O10" s="31">
        <v>0</v>
      </c>
      <c r="P10" s="35">
        <v>100</v>
      </c>
      <c r="Q10" s="30">
        <v>100</v>
      </c>
      <c r="R10" s="31">
        <v>100</v>
      </c>
      <c r="S10" s="30">
        <v>100</v>
      </c>
      <c r="T10" s="31">
        <v>100</v>
      </c>
      <c r="U10" s="31">
        <v>100</v>
      </c>
      <c r="V10" s="37">
        <v>100</v>
      </c>
      <c r="W10" s="30">
        <v>0</v>
      </c>
      <c r="X10" s="31">
        <v>100</v>
      </c>
      <c r="Y10" s="9"/>
      <c r="Z10" s="9"/>
      <c r="AA10" s="9"/>
      <c r="AB10" s="21"/>
      <c r="AC10" s="15">
        <f t="shared" si="0"/>
        <v>81.944444444444443</v>
      </c>
      <c r="AD10" s="16">
        <f t="shared" si="1"/>
        <v>100</v>
      </c>
      <c r="AE10" s="22"/>
      <c r="AF10" s="16">
        <f t="shared" ref="AF10:AF62" si="2">(AC10*40%)+(AD10*60%)</f>
        <v>92.777777777777771</v>
      </c>
    </row>
    <row r="11" spans="2:32" ht="15.75" x14ac:dyDescent="0.25">
      <c r="B11" s="23">
        <v>1140828875</v>
      </c>
      <c r="C11" s="9" t="s">
        <v>23</v>
      </c>
      <c r="D11" s="32" t="s">
        <v>18</v>
      </c>
      <c r="E11" s="31">
        <v>66.67</v>
      </c>
      <c r="F11" s="31">
        <v>100</v>
      </c>
      <c r="G11" s="31">
        <v>100</v>
      </c>
      <c r="H11" s="31">
        <v>0</v>
      </c>
      <c r="I11" s="31">
        <v>100</v>
      </c>
      <c r="J11" s="31">
        <v>100</v>
      </c>
      <c r="K11" s="35">
        <v>100</v>
      </c>
      <c r="L11" s="30">
        <v>100</v>
      </c>
      <c r="M11" s="31">
        <v>100</v>
      </c>
      <c r="N11" s="31">
        <v>100</v>
      </c>
      <c r="O11" s="31">
        <v>100</v>
      </c>
      <c r="P11" s="35">
        <v>100</v>
      </c>
      <c r="Q11" s="30">
        <v>100</v>
      </c>
      <c r="R11" s="31">
        <v>100</v>
      </c>
      <c r="S11" s="30">
        <v>100</v>
      </c>
      <c r="T11" s="31">
        <v>0</v>
      </c>
      <c r="U11" s="31">
        <v>100</v>
      </c>
      <c r="V11" s="37">
        <v>0</v>
      </c>
      <c r="W11" s="30">
        <v>66.67</v>
      </c>
      <c r="X11" s="31">
        <v>100</v>
      </c>
      <c r="Y11" s="9"/>
      <c r="Z11" s="9"/>
      <c r="AA11" s="9"/>
      <c r="AB11" s="21"/>
      <c r="AC11" s="15">
        <f t="shared" si="0"/>
        <v>84.314117647058836</v>
      </c>
      <c r="AD11" s="16">
        <f t="shared" si="1"/>
        <v>66.666666666666671</v>
      </c>
      <c r="AE11" s="22"/>
      <c r="AF11" s="16">
        <f t="shared" si="2"/>
        <v>73.72564705882354</v>
      </c>
    </row>
    <row r="12" spans="2:32" ht="15.75" x14ac:dyDescent="0.25">
      <c r="B12" s="20">
        <v>1015444052</v>
      </c>
      <c r="C12" s="20" t="s">
        <v>27</v>
      </c>
      <c r="D12" s="32" t="s">
        <v>16</v>
      </c>
      <c r="E12" s="31">
        <v>100</v>
      </c>
      <c r="F12" s="31">
        <v>100</v>
      </c>
      <c r="G12" s="31">
        <v>100</v>
      </c>
      <c r="H12" s="31">
        <v>100</v>
      </c>
      <c r="I12" s="31">
        <v>100</v>
      </c>
      <c r="J12" s="31">
        <v>100</v>
      </c>
      <c r="K12" s="35">
        <v>100</v>
      </c>
      <c r="L12" s="30">
        <v>100</v>
      </c>
      <c r="M12" s="31">
        <v>100</v>
      </c>
      <c r="N12" s="31">
        <v>100</v>
      </c>
      <c r="O12" s="31">
        <v>100</v>
      </c>
      <c r="P12" s="35">
        <v>100</v>
      </c>
      <c r="Q12" s="30">
        <v>100</v>
      </c>
      <c r="R12" s="31">
        <v>98.33</v>
      </c>
      <c r="S12" s="30">
        <v>100</v>
      </c>
      <c r="T12" s="31">
        <v>100</v>
      </c>
      <c r="U12" s="31">
        <v>100</v>
      </c>
      <c r="V12" s="37">
        <v>100</v>
      </c>
      <c r="W12" s="30">
        <v>100</v>
      </c>
      <c r="X12" s="31">
        <v>100</v>
      </c>
      <c r="Y12" s="9"/>
      <c r="Z12" s="9"/>
      <c r="AA12" s="9"/>
      <c r="AB12" s="21"/>
      <c r="AC12" s="15">
        <f t="shared" si="0"/>
        <v>99.901764705882343</v>
      </c>
      <c r="AD12" s="16">
        <f t="shared" si="1"/>
        <v>100</v>
      </c>
      <c r="AE12" s="22"/>
      <c r="AF12" s="16">
        <f t="shared" si="2"/>
        <v>99.96070588235294</v>
      </c>
    </row>
    <row r="13" spans="2:32" ht="15.75" x14ac:dyDescent="0.25">
      <c r="B13" s="20">
        <v>1023019194</v>
      </c>
      <c r="C13" s="20" t="s">
        <v>27</v>
      </c>
      <c r="D13" s="30">
        <v>100</v>
      </c>
      <c r="E13" s="31">
        <v>100</v>
      </c>
      <c r="F13" s="31">
        <v>100</v>
      </c>
      <c r="G13" s="31">
        <v>100</v>
      </c>
      <c r="H13" s="31">
        <v>100</v>
      </c>
      <c r="I13" s="31">
        <v>100</v>
      </c>
      <c r="J13" s="31">
        <v>100</v>
      </c>
      <c r="K13" s="35">
        <v>100</v>
      </c>
      <c r="L13" s="30">
        <v>100</v>
      </c>
      <c r="M13" s="31">
        <v>100</v>
      </c>
      <c r="N13" s="31">
        <v>100</v>
      </c>
      <c r="O13" s="31">
        <v>100</v>
      </c>
      <c r="P13" s="35">
        <v>100</v>
      </c>
      <c r="Q13" s="30">
        <v>100</v>
      </c>
      <c r="R13" s="31">
        <v>100</v>
      </c>
      <c r="S13" s="30">
        <v>0</v>
      </c>
      <c r="T13" s="31">
        <v>66.67</v>
      </c>
      <c r="U13" s="31">
        <v>100</v>
      </c>
      <c r="V13" s="37">
        <v>100</v>
      </c>
      <c r="W13" s="30">
        <v>100</v>
      </c>
      <c r="X13" s="31">
        <v>100</v>
      </c>
      <c r="Y13" s="9"/>
      <c r="Z13" s="9"/>
      <c r="AA13" s="9"/>
      <c r="AB13" s="21"/>
      <c r="AC13" s="15">
        <f t="shared" si="0"/>
        <v>92.592777777777783</v>
      </c>
      <c r="AD13" s="16">
        <f t="shared" si="1"/>
        <v>100</v>
      </c>
      <c r="AE13" s="22"/>
      <c r="AF13" s="16">
        <f t="shared" si="2"/>
        <v>97.037111111111116</v>
      </c>
    </row>
    <row r="14" spans="2:32" ht="15.75" x14ac:dyDescent="0.25">
      <c r="B14" s="20">
        <v>1000590947</v>
      </c>
      <c r="C14" s="20" t="s">
        <v>27</v>
      </c>
      <c r="D14" s="30">
        <v>100</v>
      </c>
      <c r="E14" s="31">
        <v>100</v>
      </c>
      <c r="F14" s="31">
        <v>100</v>
      </c>
      <c r="G14" s="31">
        <v>100</v>
      </c>
      <c r="H14" s="31">
        <v>100</v>
      </c>
      <c r="I14" s="31">
        <v>100</v>
      </c>
      <c r="J14" s="31">
        <v>100</v>
      </c>
      <c r="K14" s="35">
        <v>85.71</v>
      </c>
      <c r="L14" s="30">
        <v>100</v>
      </c>
      <c r="M14" s="31">
        <v>100</v>
      </c>
      <c r="N14" s="31">
        <v>100</v>
      </c>
      <c r="O14" s="31">
        <v>100</v>
      </c>
      <c r="P14" s="35">
        <v>100</v>
      </c>
      <c r="Q14" s="30">
        <v>100</v>
      </c>
      <c r="R14" s="31">
        <v>66.66</v>
      </c>
      <c r="S14" s="30">
        <v>88.89</v>
      </c>
      <c r="T14" s="31">
        <v>100</v>
      </c>
      <c r="U14" s="33" t="s">
        <v>16</v>
      </c>
      <c r="V14" s="38" t="s">
        <v>16</v>
      </c>
      <c r="W14" s="32" t="s">
        <v>16</v>
      </c>
      <c r="X14" s="33" t="s">
        <v>16</v>
      </c>
      <c r="Y14" s="9"/>
      <c r="Z14" s="9"/>
      <c r="AA14" s="9"/>
      <c r="AB14" s="21"/>
      <c r="AC14" s="15">
        <f t="shared" si="0"/>
        <v>97.036666666666676</v>
      </c>
      <c r="AD14" s="16">
        <f t="shared" si="1"/>
        <v>92.85499999999999</v>
      </c>
      <c r="AE14" s="22"/>
      <c r="AF14" s="16">
        <f t="shared" si="2"/>
        <v>94.527666666666676</v>
      </c>
    </row>
    <row r="15" spans="2:32" ht="15.75" x14ac:dyDescent="0.25">
      <c r="B15" s="20">
        <v>1014234159</v>
      </c>
      <c r="C15" s="20" t="s">
        <v>27</v>
      </c>
      <c r="D15" s="30">
        <v>100</v>
      </c>
      <c r="E15" s="31">
        <v>100</v>
      </c>
      <c r="F15" s="31">
        <v>100</v>
      </c>
      <c r="G15" s="31">
        <v>100</v>
      </c>
      <c r="H15" s="31">
        <v>100</v>
      </c>
      <c r="I15" s="31">
        <v>100</v>
      </c>
      <c r="J15" s="31">
        <v>100</v>
      </c>
      <c r="K15" s="35">
        <v>100</v>
      </c>
      <c r="L15" s="30">
        <v>100</v>
      </c>
      <c r="M15" s="31">
        <v>100</v>
      </c>
      <c r="N15" s="31">
        <v>100</v>
      </c>
      <c r="O15" s="31">
        <v>100</v>
      </c>
      <c r="P15" s="35">
        <v>100</v>
      </c>
      <c r="Q15" s="30">
        <v>66.66</v>
      </c>
      <c r="R15" s="31">
        <v>100</v>
      </c>
      <c r="S15" s="30">
        <v>100</v>
      </c>
      <c r="T15" s="31">
        <v>100</v>
      </c>
      <c r="U15" s="31">
        <v>100</v>
      </c>
      <c r="V15" s="37">
        <v>100</v>
      </c>
      <c r="W15" s="30">
        <v>100</v>
      </c>
      <c r="X15" s="31">
        <v>100</v>
      </c>
      <c r="Y15" s="9"/>
      <c r="Z15" s="9"/>
      <c r="AA15" s="9"/>
      <c r="AB15" s="21"/>
      <c r="AC15" s="15">
        <f t="shared" si="0"/>
        <v>98.147777777777776</v>
      </c>
      <c r="AD15" s="16">
        <f t="shared" si="1"/>
        <v>100</v>
      </c>
      <c r="AE15" s="22"/>
      <c r="AF15" s="16">
        <f t="shared" si="2"/>
        <v>99.25911111111111</v>
      </c>
    </row>
    <row r="16" spans="2:32" ht="15.75" x14ac:dyDescent="0.25">
      <c r="B16" s="20">
        <v>1090476688</v>
      </c>
      <c r="C16" s="20" t="s">
        <v>27</v>
      </c>
      <c r="D16" s="32" t="s">
        <v>18</v>
      </c>
      <c r="E16" s="31">
        <v>100</v>
      </c>
      <c r="F16" s="31">
        <v>100</v>
      </c>
      <c r="G16" s="31">
        <v>100</v>
      </c>
      <c r="H16" s="31">
        <v>100</v>
      </c>
      <c r="I16" s="31">
        <v>100</v>
      </c>
      <c r="J16" s="31">
        <v>100</v>
      </c>
      <c r="K16" s="35">
        <v>100</v>
      </c>
      <c r="L16" s="30">
        <v>100</v>
      </c>
      <c r="M16" s="31">
        <v>100</v>
      </c>
      <c r="N16" s="31">
        <v>100</v>
      </c>
      <c r="O16" s="31">
        <v>100</v>
      </c>
      <c r="P16" s="35">
        <v>100</v>
      </c>
      <c r="Q16" s="30">
        <v>100</v>
      </c>
      <c r="R16" s="31">
        <v>100</v>
      </c>
      <c r="S16" s="30">
        <v>88.89</v>
      </c>
      <c r="T16" s="31">
        <v>66.67</v>
      </c>
      <c r="U16" s="31">
        <v>100</v>
      </c>
      <c r="V16" s="37">
        <v>100</v>
      </c>
      <c r="W16" s="30">
        <v>100</v>
      </c>
      <c r="X16" s="31">
        <v>100</v>
      </c>
      <c r="Y16" s="9"/>
      <c r="Z16" s="9"/>
      <c r="AA16" s="9"/>
      <c r="AB16" s="21"/>
      <c r="AC16" s="15">
        <f t="shared" si="0"/>
        <v>97.385882352941181</v>
      </c>
      <c r="AD16" s="16">
        <f t="shared" si="1"/>
        <v>100</v>
      </c>
      <c r="AE16" s="22"/>
      <c r="AF16" s="16">
        <f t="shared" si="2"/>
        <v>98.954352941176467</v>
      </c>
    </row>
    <row r="17" spans="2:32" ht="15.75" x14ac:dyDescent="0.25">
      <c r="B17" s="20">
        <v>1019043867</v>
      </c>
      <c r="C17" s="20" t="s">
        <v>27</v>
      </c>
      <c r="D17" s="30">
        <v>100</v>
      </c>
      <c r="E17" s="31">
        <v>100</v>
      </c>
      <c r="F17" s="31">
        <v>100</v>
      </c>
      <c r="G17" s="31">
        <v>100</v>
      </c>
      <c r="H17" s="31">
        <v>100</v>
      </c>
      <c r="I17" s="31">
        <v>100</v>
      </c>
      <c r="J17" s="31">
        <v>100</v>
      </c>
      <c r="K17" s="35">
        <v>100</v>
      </c>
      <c r="L17" s="30">
        <v>100</v>
      </c>
      <c r="M17" s="31">
        <v>100</v>
      </c>
      <c r="N17" s="31">
        <v>100</v>
      </c>
      <c r="O17" s="31">
        <v>100</v>
      </c>
      <c r="P17" s="35">
        <v>100</v>
      </c>
      <c r="Q17" s="30">
        <v>100</v>
      </c>
      <c r="R17" s="31">
        <v>100</v>
      </c>
      <c r="S17" s="30">
        <v>100</v>
      </c>
      <c r="T17" s="31">
        <v>100</v>
      </c>
      <c r="U17" s="31">
        <v>100</v>
      </c>
      <c r="V17" s="37">
        <v>100</v>
      </c>
      <c r="W17" s="30">
        <v>100</v>
      </c>
      <c r="X17" s="31">
        <v>100</v>
      </c>
      <c r="Y17" s="9"/>
      <c r="Z17" s="9"/>
      <c r="AA17" s="9"/>
      <c r="AB17" s="21"/>
      <c r="AC17" s="15">
        <f t="shared" si="0"/>
        <v>100</v>
      </c>
      <c r="AD17" s="16">
        <f t="shared" si="1"/>
        <v>100</v>
      </c>
      <c r="AE17" s="22"/>
      <c r="AF17" s="16">
        <f t="shared" si="2"/>
        <v>100</v>
      </c>
    </row>
    <row r="18" spans="2:32" ht="15.75" x14ac:dyDescent="0.25">
      <c r="B18" s="20">
        <v>1014278906</v>
      </c>
      <c r="C18" s="20" t="s">
        <v>27</v>
      </c>
      <c r="D18" s="30">
        <v>100</v>
      </c>
      <c r="E18" s="31">
        <v>100</v>
      </c>
      <c r="F18" s="31">
        <v>100</v>
      </c>
      <c r="G18" s="31">
        <v>100</v>
      </c>
      <c r="H18" s="31">
        <v>88.89</v>
      </c>
      <c r="I18" s="31">
        <v>100</v>
      </c>
      <c r="J18" s="31">
        <v>100</v>
      </c>
      <c r="K18" s="35">
        <v>100</v>
      </c>
      <c r="L18" s="30">
        <v>100</v>
      </c>
      <c r="M18" s="31">
        <v>100</v>
      </c>
      <c r="N18" s="31">
        <v>100</v>
      </c>
      <c r="O18" s="31">
        <v>100</v>
      </c>
      <c r="P18" s="35">
        <v>100</v>
      </c>
      <c r="Q18" s="30">
        <v>100</v>
      </c>
      <c r="R18" s="31">
        <v>98.33</v>
      </c>
      <c r="S18" s="30">
        <v>100</v>
      </c>
      <c r="T18" s="31">
        <v>100</v>
      </c>
      <c r="U18" s="31">
        <v>100</v>
      </c>
      <c r="V18" s="37">
        <v>100</v>
      </c>
      <c r="W18" s="30">
        <v>100</v>
      </c>
      <c r="X18" s="31">
        <v>100</v>
      </c>
      <c r="Y18" s="9"/>
      <c r="Z18" s="9"/>
      <c r="AA18" s="9"/>
      <c r="AB18" s="21"/>
      <c r="AC18" s="15">
        <f t="shared" si="0"/>
        <v>99.289999999999992</v>
      </c>
      <c r="AD18" s="16">
        <f t="shared" si="1"/>
        <v>100</v>
      </c>
      <c r="AE18" s="22"/>
      <c r="AF18" s="16">
        <f t="shared" si="2"/>
        <v>99.716000000000008</v>
      </c>
    </row>
    <row r="19" spans="2:32" ht="15.75" x14ac:dyDescent="0.25">
      <c r="B19" s="20">
        <v>1000694935</v>
      </c>
      <c r="C19" s="20" t="s">
        <v>27</v>
      </c>
      <c r="D19" s="30">
        <v>100</v>
      </c>
      <c r="E19" s="31">
        <v>66.66</v>
      </c>
      <c r="F19" s="31">
        <v>100</v>
      </c>
      <c r="G19" s="31">
        <v>100</v>
      </c>
      <c r="H19" s="31">
        <v>100</v>
      </c>
      <c r="I19" s="31">
        <v>100</v>
      </c>
      <c r="J19" s="31">
        <v>100</v>
      </c>
      <c r="K19" s="35">
        <v>100</v>
      </c>
      <c r="L19" s="30">
        <v>100</v>
      </c>
      <c r="M19" s="31">
        <v>100</v>
      </c>
      <c r="N19" s="31">
        <v>100</v>
      </c>
      <c r="O19" s="31">
        <v>100</v>
      </c>
      <c r="P19" s="35">
        <v>100</v>
      </c>
      <c r="Q19" s="30">
        <v>100</v>
      </c>
      <c r="R19" s="31">
        <v>64.989999999999995</v>
      </c>
      <c r="S19" s="30">
        <v>100</v>
      </c>
      <c r="T19" s="31">
        <v>66.67</v>
      </c>
      <c r="U19" s="31">
        <v>0</v>
      </c>
      <c r="V19" s="37">
        <v>100</v>
      </c>
      <c r="W19" s="30">
        <v>0</v>
      </c>
      <c r="X19" s="31">
        <v>100</v>
      </c>
      <c r="Y19" s="9"/>
      <c r="Z19" s="9"/>
      <c r="AA19" s="9"/>
      <c r="AB19" s="21"/>
      <c r="AC19" s="15">
        <f t="shared" si="0"/>
        <v>83.24</v>
      </c>
      <c r="AD19" s="16">
        <f t="shared" si="1"/>
        <v>100</v>
      </c>
      <c r="AE19" s="22"/>
      <c r="AF19" s="16">
        <f t="shared" si="2"/>
        <v>93.295999999999992</v>
      </c>
    </row>
    <row r="20" spans="2:32" ht="15.75" x14ac:dyDescent="0.25">
      <c r="B20" s="20">
        <v>52222475</v>
      </c>
      <c r="C20" s="20" t="s">
        <v>27</v>
      </c>
      <c r="D20" s="30">
        <v>100</v>
      </c>
      <c r="E20" s="31">
        <v>100</v>
      </c>
      <c r="F20" s="31">
        <v>100</v>
      </c>
      <c r="G20" s="31">
        <v>100</v>
      </c>
      <c r="H20" s="31">
        <v>100</v>
      </c>
      <c r="I20" s="31">
        <v>100</v>
      </c>
      <c r="J20" s="31">
        <v>100</v>
      </c>
      <c r="K20" s="35">
        <v>100</v>
      </c>
      <c r="L20" s="30">
        <v>100</v>
      </c>
      <c r="M20" s="31">
        <v>100</v>
      </c>
      <c r="N20" s="31">
        <v>100</v>
      </c>
      <c r="O20" s="31">
        <v>100</v>
      </c>
      <c r="P20" s="35">
        <v>100</v>
      </c>
      <c r="Q20" s="30">
        <v>100</v>
      </c>
      <c r="R20" s="31">
        <v>100</v>
      </c>
      <c r="S20" s="30">
        <v>100</v>
      </c>
      <c r="T20" s="31">
        <v>100</v>
      </c>
      <c r="U20" s="31">
        <v>100</v>
      </c>
      <c r="V20" s="37">
        <v>85.71</v>
      </c>
      <c r="W20" s="30">
        <v>100</v>
      </c>
      <c r="X20" s="31">
        <v>100</v>
      </c>
      <c r="Y20" s="9"/>
      <c r="Z20" s="9"/>
      <c r="AA20" s="9"/>
      <c r="AB20" s="21"/>
      <c r="AC20" s="15">
        <f t="shared" si="0"/>
        <v>100</v>
      </c>
      <c r="AD20" s="16">
        <f t="shared" si="1"/>
        <v>95.236666666666665</v>
      </c>
      <c r="AE20" s="22"/>
      <c r="AF20" s="16">
        <f>(AC20*40%)+(AD20*60%)</f>
        <v>97.141999999999996</v>
      </c>
    </row>
    <row r="21" spans="2:32" ht="15.75" x14ac:dyDescent="0.25">
      <c r="B21" s="20">
        <v>1019150662</v>
      </c>
      <c r="C21" s="20" t="s">
        <v>27</v>
      </c>
      <c r="D21" s="30">
        <v>100</v>
      </c>
      <c r="E21" s="31">
        <v>100</v>
      </c>
      <c r="F21" s="31">
        <v>100</v>
      </c>
      <c r="G21" s="31">
        <v>100</v>
      </c>
      <c r="H21" s="31">
        <v>100</v>
      </c>
      <c r="I21" s="31">
        <v>100</v>
      </c>
      <c r="J21" s="31">
        <v>100</v>
      </c>
      <c r="K21" s="35">
        <v>100</v>
      </c>
      <c r="L21" s="30">
        <v>100</v>
      </c>
      <c r="M21" s="31">
        <v>100</v>
      </c>
      <c r="N21" s="31">
        <v>100</v>
      </c>
      <c r="O21" s="31">
        <v>100</v>
      </c>
      <c r="P21" s="35">
        <v>100</v>
      </c>
      <c r="Q21" s="30">
        <v>100</v>
      </c>
      <c r="R21" s="31">
        <v>98.33</v>
      </c>
      <c r="S21" s="30">
        <v>100</v>
      </c>
      <c r="T21" s="31">
        <v>100</v>
      </c>
      <c r="U21" s="31">
        <v>100</v>
      </c>
      <c r="V21" s="37">
        <v>100</v>
      </c>
      <c r="W21" s="30">
        <v>100</v>
      </c>
      <c r="X21" s="31">
        <v>100</v>
      </c>
      <c r="Y21" s="9"/>
      <c r="Z21" s="9"/>
      <c r="AA21" s="9"/>
      <c r="AB21" s="21"/>
      <c r="AC21" s="15">
        <f t="shared" si="0"/>
        <v>99.907222222222217</v>
      </c>
      <c r="AD21" s="16">
        <f t="shared" si="1"/>
        <v>100</v>
      </c>
      <c r="AE21" s="22"/>
      <c r="AF21" s="16">
        <f t="shared" si="2"/>
        <v>99.962888888888898</v>
      </c>
    </row>
    <row r="22" spans="2:32" ht="15.75" x14ac:dyDescent="0.25">
      <c r="B22" s="20">
        <v>1003711007</v>
      </c>
      <c r="C22" s="20" t="s">
        <v>27</v>
      </c>
      <c r="D22" s="30">
        <v>100</v>
      </c>
      <c r="E22" s="31">
        <v>100</v>
      </c>
      <c r="F22" s="31">
        <v>100</v>
      </c>
      <c r="G22" s="31">
        <v>100</v>
      </c>
      <c r="H22" s="31">
        <v>100</v>
      </c>
      <c r="I22" s="31">
        <v>100</v>
      </c>
      <c r="J22" s="31">
        <v>100</v>
      </c>
      <c r="K22" s="35">
        <v>85.71</v>
      </c>
      <c r="L22" s="30">
        <v>100</v>
      </c>
      <c r="M22" s="31">
        <v>100</v>
      </c>
      <c r="N22" s="31">
        <v>100</v>
      </c>
      <c r="O22" s="31">
        <v>100</v>
      </c>
      <c r="P22" s="35">
        <v>0</v>
      </c>
      <c r="Q22" s="30">
        <v>100</v>
      </c>
      <c r="R22" s="31">
        <v>98.33</v>
      </c>
      <c r="S22" s="30">
        <v>100</v>
      </c>
      <c r="T22" s="31">
        <v>100</v>
      </c>
      <c r="U22" s="31">
        <v>100</v>
      </c>
      <c r="V22" s="37">
        <v>100</v>
      </c>
      <c r="W22" s="30">
        <v>100</v>
      </c>
      <c r="X22" s="31">
        <v>100</v>
      </c>
      <c r="Y22" s="9"/>
      <c r="Z22" s="9"/>
      <c r="AA22" s="9"/>
      <c r="AB22" s="21"/>
      <c r="AC22" s="15">
        <f t="shared" si="0"/>
        <v>99.907222222222217</v>
      </c>
      <c r="AD22" s="16">
        <f t="shared" si="1"/>
        <v>61.903333333333329</v>
      </c>
      <c r="AE22" s="22"/>
      <c r="AF22" s="16">
        <f t="shared" si="2"/>
        <v>77.104888888888894</v>
      </c>
    </row>
    <row r="23" spans="2:32" ht="15.75" x14ac:dyDescent="0.25">
      <c r="B23" s="20">
        <v>1000121580</v>
      </c>
      <c r="C23" s="20" t="s">
        <v>27</v>
      </c>
      <c r="D23" s="30">
        <v>100</v>
      </c>
      <c r="E23" s="31">
        <v>100</v>
      </c>
      <c r="F23" s="31">
        <v>100</v>
      </c>
      <c r="G23" s="31">
        <v>100</v>
      </c>
      <c r="H23" s="31">
        <v>100</v>
      </c>
      <c r="I23" s="31">
        <v>100</v>
      </c>
      <c r="J23" s="31">
        <v>66.67</v>
      </c>
      <c r="K23" s="35">
        <v>100</v>
      </c>
      <c r="L23" s="30">
        <v>100</v>
      </c>
      <c r="M23" s="31">
        <v>100</v>
      </c>
      <c r="N23" s="31">
        <v>100</v>
      </c>
      <c r="O23" s="31">
        <v>100</v>
      </c>
      <c r="P23" s="35">
        <v>100</v>
      </c>
      <c r="Q23" s="30">
        <v>100</v>
      </c>
      <c r="R23" s="31">
        <v>98.33</v>
      </c>
      <c r="S23" s="30">
        <v>100</v>
      </c>
      <c r="T23" s="31">
        <v>100</v>
      </c>
      <c r="U23" s="31">
        <v>100</v>
      </c>
      <c r="V23" s="37">
        <v>100</v>
      </c>
      <c r="W23" s="30">
        <v>100</v>
      </c>
      <c r="X23" s="31">
        <v>100</v>
      </c>
      <c r="Y23" s="9"/>
      <c r="Z23" s="9"/>
      <c r="AA23" s="9"/>
      <c r="AB23" s="21"/>
      <c r="AC23" s="15">
        <f t="shared" si="0"/>
        <v>98.055555555555557</v>
      </c>
      <c r="AD23" s="16">
        <f t="shared" si="1"/>
        <v>100</v>
      </c>
      <c r="AE23" s="22"/>
      <c r="AF23" s="16">
        <f t="shared" si="2"/>
        <v>99.222222222222229</v>
      </c>
    </row>
    <row r="24" spans="2:32" ht="15.75" x14ac:dyDescent="0.25">
      <c r="B24" s="20">
        <v>39677548</v>
      </c>
      <c r="C24" s="20" t="s">
        <v>27</v>
      </c>
      <c r="D24" s="30">
        <v>100</v>
      </c>
      <c r="E24" s="31">
        <v>100</v>
      </c>
      <c r="F24" s="31">
        <v>100</v>
      </c>
      <c r="G24" s="31">
        <v>100</v>
      </c>
      <c r="H24" s="31">
        <v>100</v>
      </c>
      <c r="I24" s="31">
        <v>100</v>
      </c>
      <c r="J24" s="31">
        <v>100</v>
      </c>
      <c r="K24" s="35">
        <v>100</v>
      </c>
      <c r="L24" s="30">
        <v>66.67</v>
      </c>
      <c r="M24" s="31">
        <v>100</v>
      </c>
      <c r="N24" s="31">
        <v>100</v>
      </c>
      <c r="O24" s="31">
        <v>100</v>
      </c>
      <c r="P24" s="35">
        <v>100</v>
      </c>
      <c r="Q24" s="30">
        <v>100</v>
      </c>
      <c r="R24" s="31">
        <v>100</v>
      </c>
      <c r="S24" s="30">
        <v>100</v>
      </c>
      <c r="T24" s="31">
        <v>100</v>
      </c>
      <c r="U24" s="31">
        <v>100</v>
      </c>
      <c r="V24" s="37">
        <v>100</v>
      </c>
      <c r="W24" s="30">
        <v>100</v>
      </c>
      <c r="X24" s="31">
        <v>100</v>
      </c>
      <c r="Y24" s="9"/>
      <c r="Z24" s="9"/>
      <c r="AA24" s="9"/>
      <c r="AB24" s="21"/>
      <c r="AC24" s="15">
        <f t="shared" si="0"/>
        <v>98.148333333333341</v>
      </c>
      <c r="AD24" s="16">
        <f t="shared" si="1"/>
        <v>100</v>
      </c>
      <c r="AE24" s="22"/>
      <c r="AF24" s="16">
        <f t="shared" si="2"/>
        <v>99.259333333333331</v>
      </c>
    </row>
    <row r="25" spans="2:32" ht="15.75" x14ac:dyDescent="0.25">
      <c r="B25" s="20">
        <v>1013692526</v>
      </c>
      <c r="C25" s="20" t="s">
        <v>27</v>
      </c>
      <c r="D25" s="30">
        <v>100</v>
      </c>
      <c r="E25" s="31">
        <v>100</v>
      </c>
      <c r="F25" s="31">
        <v>100</v>
      </c>
      <c r="G25" s="31">
        <v>100</v>
      </c>
      <c r="H25" s="31">
        <v>100</v>
      </c>
      <c r="I25" s="31">
        <v>100</v>
      </c>
      <c r="J25" s="31">
        <v>100</v>
      </c>
      <c r="K25" s="35">
        <v>100</v>
      </c>
      <c r="L25" s="30">
        <v>100</v>
      </c>
      <c r="M25" s="31">
        <v>100</v>
      </c>
      <c r="N25" s="31">
        <v>100</v>
      </c>
      <c r="O25" s="31">
        <v>100</v>
      </c>
      <c r="P25" s="35">
        <v>100</v>
      </c>
      <c r="Q25" s="30">
        <v>100</v>
      </c>
      <c r="R25" s="31">
        <v>98.33</v>
      </c>
      <c r="S25" s="30">
        <v>100</v>
      </c>
      <c r="T25" s="31">
        <v>100</v>
      </c>
      <c r="U25" s="31">
        <v>100</v>
      </c>
      <c r="V25" s="37">
        <v>100</v>
      </c>
      <c r="W25" s="30">
        <v>100</v>
      </c>
      <c r="X25" s="31">
        <v>100</v>
      </c>
      <c r="Y25" s="9"/>
      <c r="Z25" s="9"/>
      <c r="AA25" s="9"/>
      <c r="AB25" s="21"/>
      <c r="AC25" s="15">
        <f t="shared" si="0"/>
        <v>99.907222222222217</v>
      </c>
      <c r="AD25" s="16">
        <f t="shared" si="1"/>
        <v>100</v>
      </c>
      <c r="AE25" s="22"/>
      <c r="AF25" s="16">
        <f t="shared" si="2"/>
        <v>99.962888888888898</v>
      </c>
    </row>
    <row r="26" spans="2:32" ht="15.75" x14ac:dyDescent="0.25">
      <c r="B26" s="20">
        <v>1016113073</v>
      </c>
      <c r="C26" s="19" t="s">
        <v>27</v>
      </c>
      <c r="D26" s="30">
        <v>100</v>
      </c>
      <c r="E26" s="31">
        <v>66.67</v>
      </c>
      <c r="F26" s="31">
        <v>100</v>
      </c>
      <c r="G26" s="31">
        <v>0</v>
      </c>
      <c r="H26" s="31">
        <v>100</v>
      </c>
      <c r="I26" s="31">
        <v>100</v>
      </c>
      <c r="J26" s="31">
        <v>100</v>
      </c>
      <c r="K26" s="35">
        <v>42.85</v>
      </c>
      <c r="L26" s="30">
        <v>100</v>
      </c>
      <c r="M26" s="31">
        <v>100</v>
      </c>
      <c r="N26" s="31">
        <v>100</v>
      </c>
      <c r="O26" s="31">
        <v>100</v>
      </c>
      <c r="P26" s="35">
        <v>100</v>
      </c>
      <c r="Q26" s="30">
        <v>100</v>
      </c>
      <c r="R26" s="31">
        <v>98.33</v>
      </c>
      <c r="S26" s="30">
        <v>0</v>
      </c>
      <c r="T26" s="31">
        <v>0</v>
      </c>
      <c r="U26" s="31">
        <v>0</v>
      </c>
      <c r="V26" s="37">
        <v>0</v>
      </c>
      <c r="W26" s="30">
        <v>0</v>
      </c>
      <c r="X26" s="31">
        <v>0</v>
      </c>
      <c r="Y26" s="9"/>
      <c r="Z26" s="9"/>
      <c r="AA26" s="9"/>
      <c r="AB26" s="21"/>
      <c r="AC26" s="15">
        <f t="shared" si="0"/>
        <v>64.722222222222229</v>
      </c>
      <c r="AD26" s="16">
        <f t="shared" si="1"/>
        <v>47.616666666666667</v>
      </c>
      <c r="AE26" s="22"/>
      <c r="AF26" s="16">
        <f t="shared" si="2"/>
        <v>54.458888888888893</v>
      </c>
    </row>
    <row r="27" spans="2:32" ht="15.75" x14ac:dyDescent="0.25">
      <c r="B27" s="20">
        <v>43567145</v>
      </c>
      <c r="C27" s="19" t="s">
        <v>27</v>
      </c>
      <c r="D27" s="30">
        <v>100</v>
      </c>
      <c r="E27" s="31">
        <v>100</v>
      </c>
      <c r="F27" s="31">
        <v>100</v>
      </c>
      <c r="G27" s="31">
        <v>100</v>
      </c>
      <c r="H27" s="31">
        <v>100</v>
      </c>
      <c r="I27" s="31">
        <v>100</v>
      </c>
      <c r="J27" s="31">
        <v>100</v>
      </c>
      <c r="K27" s="35">
        <v>85.71</v>
      </c>
      <c r="L27" s="30">
        <v>100</v>
      </c>
      <c r="M27" s="31">
        <v>64.989999999999995</v>
      </c>
      <c r="N27" s="31">
        <v>100</v>
      </c>
      <c r="O27" s="31">
        <v>100</v>
      </c>
      <c r="P27" s="35">
        <v>100</v>
      </c>
      <c r="Q27" s="30">
        <v>100</v>
      </c>
      <c r="R27" s="31">
        <v>100</v>
      </c>
      <c r="S27" s="30">
        <v>100</v>
      </c>
      <c r="T27" s="31">
        <v>66.67</v>
      </c>
      <c r="U27" s="31">
        <v>100</v>
      </c>
      <c r="V27" s="37">
        <v>100</v>
      </c>
      <c r="W27" s="30">
        <v>100</v>
      </c>
      <c r="X27" s="31">
        <v>83.33</v>
      </c>
      <c r="Y27" s="9"/>
      <c r="Z27" s="9"/>
      <c r="AA27" s="9"/>
      <c r="AB27" s="21"/>
      <c r="AC27" s="15">
        <f t="shared" si="0"/>
        <v>95.277222222222221</v>
      </c>
      <c r="AD27" s="16">
        <f t="shared" si="1"/>
        <v>95.236666666666665</v>
      </c>
      <c r="AE27" s="22"/>
      <c r="AF27" s="16">
        <f t="shared" si="2"/>
        <v>95.25288888888889</v>
      </c>
    </row>
    <row r="28" spans="2:32" ht="15.75" x14ac:dyDescent="0.25">
      <c r="B28" s="20">
        <v>1130590262</v>
      </c>
      <c r="C28" s="19" t="s">
        <v>27</v>
      </c>
      <c r="D28" s="30">
        <v>100</v>
      </c>
      <c r="E28" s="31">
        <v>100</v>
      </c>
      <c r="F28" s="31">
        <v>100</v>
      </c>
      <c r="G28" s="31">
        <v>100</v>
      </c>
      <c r="H28" s="31">
        <v>100</v>
      </c>
      <c r="I28" s="31">
        <v>100</v>
      </c>
      <c r="J28" s="31">
        <v>100</v>
      </c>
      <c r="K28" s="35">
        <v>100</v>
      </c>
      <c r="L28" s="30">
        <v>100</v>
      </c>
      <c r="M28" s="31">
        <v>100</v>
      </c>
      <c r="N28" s="31">
        <v>100</v>
      </c>
      <c r="O28" s="31">
        <v>100</v>
      </c>
      <c r="P28" s="35">
        <v>100</v>
      </c>
      <c r="Q28" s="30">
        <v>100</v>
      </c>
      <c r="R28" s="31">
        <v>98.33</v>
      </c>
      <c r="S28" s="30">
        <v>100</v>
      </c>
      <c r="T28" s="31">
        <v>100</v>
      </c>
      <c r="U28" s="31">
        <v>100</v>
      </c>
      <c r="V28" s="37">
        <v>96.43</v>
      </c>
      <c r="W28" s="30">
        <v>100</v>
      </c>
      <c r="X28" s="31">
        <v>100</v>
      </c>
      <c r="Y28" s="9"/>
      <c r="Z28" s="9"/>
      <c r="AA28" s="9"/>
      <c r="AB28" s="21"/>
      <c r="AC28" s="15">
        <f t="shared" si="0"/>
        <v>99.907222222222217</v>
      </c>
      <c r="AD28" s="16">
        <f t="shared" si="1"/>
        <v>98.81</v>
      </c>
      <c r="AE28" s="22"/>
      <c r="AF28" s="16">
        <f t="shared" si="2"/>
        <v>99.248888888888899</v>
      </c>
    </row>
    <row r="29" spans="2:32" ht="15.75" x14ac:dyDescent="0.25">
      <c r="B29" s="20">
        <v>40610719</v>
      </c>
      <c r="C29" s="19" t="s">
        <v>27</v>
      </c>
      <c r="D29" s="30">
        <v>100</v>
      </c>
      <c r="E29" s="31">
        <v>100</v>
      </c>
      <c r="F29" s="31">
        <v>100</v>
      </c>
      <c r="G29" s="31">
        <v>100</v>
      </c>
      <c r="H29" s="31">
        <v>100</v>
      </c>
      <c r="I29" s="31">
        <v>100</v>
      </c>
      <c r="J29" s="31">
        <v>100</v>
      </c>
      <c r="K29" s="35">
        <v>100</v>
      </c>
      <c r="L29" s="30">
        <v>66.67</v>
      </c>
      <c r="M29" s="31">
        <v>100</v>
      </c>
      <c r="N29" s="31">
        <v>100</v>
      </c>
      <c r="O29" s="31">
        <v>100</v>
      </c>
      <c r="P29" s="35">
        <v>85.72</v>
      </c>
      <c r="Q29" s="30">
        <v>100</v>
      </c>
      <c r="R29" s="31">
        <v>66.66</v>
      </c>
      <c r="S29" s="30">
        <v>100</v>
      </c>
      <c r="T29" s="31">
        <v>100</v>
      </c>
      <c r="U29" s="31">
        <v>100</v>
      </c>
      <c r="V29" s="37">
        <v>100</v>
      </c>
      <c r="W29" s="30">
        <v>100</v>
      </c>
      <c r="X29" s="31">
        <v>0</v>
      </c>
      <c r="Y29" s="9"/>
      <c r="Z29" s="9"/>
      <c r="AA29" s="9"/>
      <c r="AB29" s="21"/>
      <c r="AC29" s="15">
        <f t="shared" si="0"/>
        <v>90.740555555555559</v>
      </c>
      <c r="AD29" s="16">
        <f t="shared" si="1"/>
        <v>95.240000000000009</v>
      </c>
      <c r="AE29" s="22"/>
      <c r="AF29" s="16">
        <f t="shared" si="2"/>
        <v>93.440222222222232</v>
      </c>
    </row>
    <row r="30" spans="2:32" ht="15.75" x14ac:dyDescent="0.25">
      <c r="B30" s="20">
        <v>1017126808</v>
      </c>
      <c r="C30" s="19" t="s">
        <v>27</v>
      </c>
      <c r="D30" s="30">
        <v>100</v>
      </c>
      <c r="E30" s="31">
        <v>100</v>
      </c>
      <c r="F30" s="31">
        <v>100</v>
      </c>
      <c r="G30" s="31">
        <v>100</v>
      </c>
      <c r="H30" s="31">
        <v>100</v>
      </c>
      <c r="I30" s="31">
        <v>100</v>
      </c>
      <c r="J30" s="31">
        <v>100</v>
      </c>
      <c r="K30" s="35">
        <v>85.71</v>
      </c>
      <c r="L30" s="30">
        <v>100</v>
      </c>
      <c r="M30" s="31">
        <v>64.989999999999995</v>
      </c>
      <c r="N30" s="31">
        <v>100</v>
      </c>
      <c r="O30" s="31">
        <v>100</v>
      </c>
      <c r="P30" s="35">
        <v>100</v>
      </c>
      <c r="Q30" s="30">
        <v>100</v>
      </c>
      <c r="R30" s="31">
        <v>100</v>
      </c>
      <c r="S30" s="30">
        <v>100</v>
      </c>
      <c r="T30" s="31">
        <v>66.67</v>
      </c>
      <c r="U30" s="31">
        <v>100</v>
      </c>
      <c r="V30" s="37">
        <v>100</v>
      </c>
      <c r="W30" s="30">
        <v>100</v>
      </c>
      <c r="X30" s="31">
        <v>100</v>
      </c>
      <c r="Y30" s="9"/>
      <c r="Z30" s="9"/>
      <c r="AA30" s="9"/>
      <c r="AB30" s="21"/>
      <c r="AC30" s="15">
        <f t="shared" si="0"/>
        <v>96.203333333333333</v>
      </c>
      <c r="AD30" s="16">
        <f t="shared" si="1"/>
        <v>95.236666666666665</v>
      </c>
      <c r="AE30" s="22"/>
      <c r="AF30" s="16">
        <f t="shared" si="2"/>
        <v>95.623333333333335</v>
      </c>
    </row>
    <row r="31" spans="2:32" ht="15.75" x14ac:dyDescent="0.25">
      <c r="B31" s="20">
        <v>1152452763</v>
      </c>
      <c r="C31" s="19" t="s">
        <v>27</v>
      </c>
      <c r="D31" s="30">
        <v>100</v>
      </c>
      <c r="E31" s="31">
        <v>100</v>
      </c>
      <c r="F31" s="31">
        <v>100</v>
      </c>
      <c r="G31" s="31">
        <v>100</v>
      </c>
      <c r="H31" s="31">
        <v>100</v>
      </c>
      <c r="I31" s="31">
        <v>100</v>
      </c>
      <c r="J31" s="31">
        <v>100</v>
      </c>
      <c r="K31" s="35">
        <v>100</v>
      </c>
      <c r="L31" s="30">
        <v>100</v>
      </c>
      <c r="M31" s="31">
        <v>100</v>
      </c>
      <c r="N31" s="31">
        <v>83.34</v>
      </c>
      <c r="O31" s="31">
        <v>100</v>
      </c>
      <c r="P31" s="35">
        <v>100</v>
      </c>
      <c r="Q31" s="30">
        <v>100</v>
      </c>
      <c r="R31" s="31">
        <v>100</v>
      </c>
      <c r="S31" s="30">
        <v>100</v>
      </c>
      <c r="T31" s="31">
        <v>66.67</v>
      </c>
      <c r="U31" s="31">
        <v>100</v>
      </c>
      <c r="V31" s="37">
        <v>100</v>
      </c>
      <c r="W31" s="30">
        <v>100</v>
      </c>
      <c r="X31" s="31">
        <v>100</v>
      </c>
      <c r="Y31" s="9"/>
      <c r="Z31" s="9"/>
      <c r="AA31" s="9"/>
      <c r="AB31" s="21"/>
      <c r="AC31" s="15">
        <f t="shared" si="0"/>
        <v>97.222777777777793</v>
      </c>
      <c r="AD31" s="16">
        <f t="shared" si="1"/>
        <v>100</v>
      </c>
      <c r="AE31" s="22"/>
      <c r="AF31" s="16">
        <f t="shared" si="2"/>
        <v>98.88911111111112</v>
      </c>
    </row>
    <row r="32" spans="2:32" ht="15.75" x14ac:dyDescent="0.25">
      <c r="B32" s="20">
        <v>1012440522</v>
      </c>
      <c r="C32" s="20" t="s">
        <v>27</v>
      </c>
      <c r="D32" s="30">
        <v>100</v>
      </c>
      <c r="E32" s="31">
        <v>100</v>
      </c>
      <c r="F32" s="31">
        <v>100</v>
      </c>
      <c r="G32" s="31">
        <v>100</v>
      </c>
      <c r="H32" s="31">
        <v>100</v>
      </c>
      <c r="I32" s="31">
        <v>100</v>
      </c>
      <c r="J32" s="31">
        <v>100</v>
      </c>
      <c r="K32" s="35">
        <v>85.71</v>
      </c>
      <c r="L32" s="30">
        <v>0</v>
      </c>
      <c r="M32" s="31">
        <v>100</v>
      </c>
      <c r="N32" s="31">
        <v>100</v>
      </c>
      <c r="O32" s="31">
        <v>100</v>
      </c>
      <c r="P32" s="35">
        <v>85.71</v>
      </c>
      <c r="Q32" s="30">
        <v>100</v>
      </c>
      <c r="R32" s="31">
        <v>98.33</v>
      </c>
      <c r="S32" s="30">
        <v>100</v>
      </c>
      <c r="T32" s="31">
        <v>66.67</v>
      </c>
      <c r="U32" s="31">
        <v>100</v>
      </c>
      <c r="V32" s="37">
        <v>100</v>
      </c>
      <c r="W32" s="30">
        <v>100</v>
      </c>
      <c r="X32" s="31">
        <v>100</v>
      </c>
      <c r="Y32" s="9"/>
      <c r="Z32" s="9"/>
      <c r="AA32" s="9"/>
      <c r="AB32" s="21"/>
      <c r="AC32" s="15">
        <f t="shared" si="0"/>
        <v>92.5</v>
      </c>
      <c r="AD32" s="16">
        <f t="shared" si="1"/>
        <v>90.473333333333315</v>
      </c>
      <c r="AE32" s="22"/>
      <c r="AF32" s="16">
        <f t="shared" si="2"/>
        <v>91.283999999999992</v>
      </c>
    </row>
    <row r="33" spans="2:32" ht="15.75" x14ac:dyDescent="0.25">
      <c r="B33" s="20">
        <v>1001328960</v>
      </c>
      <c r="C33" s="19" t="s">
        <v>27</v>
      </c>
      <c r="D33" s="30">
        <v>100</v>
      </c>
      <c r="E33" s="31">
        <v>100</v>
      </c>
      <c r="F33" s="31">
        <v>100</v>
      </c>
      <c r="G33" s="31">
        <v>100</v>
      </c>
      <c r="H33" s="31">
        <v>100</v>
      </c>
      <c r="I33" s="31">
        <v>100</v>
      </c>
      <c r="J33" s="31">
        <v>100</v>
      </c>
      <c r="K33" s="35">
        <v>100</v>
      </c>
      <c r="L33" s="30">
        <v>100</v>
      </c>
      <c r="M33" s="31">
        <v>100</v>
      </c>
      <c r="N33" s="31">
        <v>100</v>
      </c>
      <c r="O33" s="31">
        <v>100</v>
      </c>
      <c r="P33" s="35">
        <v>100</v>
      </c>
      <c r="Q33" s="30">
        <v>100</v>
      </c>
      <c r="R33" s="31">
        <v>98.33</v>
      </c>
      <c r="S33" s="30">
        <v>100</v>
      </c>
      <c r="T33" s="31">
        <v>66.67</v>
      </c>
      <c r="U33" s="31">
        <v>100</v>
      </c>
      <c r="V33" s="37">
        <v>96.43</v>
      </c>
      <c r="W33" s="30">
        <v>100</v>
      </c>
      <c r="X33" s="31">
        <v>100</v>
      </c>
      <c r="Y33" s="9"/>
      <c r="Z33" s="9"/>
      <c r="AA33" s="9"/>
      <c r="AB33" s="21"/>
      <c r="AC33" s="15">
        <f t="shared" ref="AC33:AC40" si="3">AVERAGE(D33:J33,L33:O33,Q33:U33,W33:AA33)</f>
        <v>98.055555555555557</v>
      </c>
      <c r="AD33" s="16">
        <f t="shared" ref="AD33:AD40" si="4">AVERAGE(K33,P33,V33,AB33)</f>
        <v>98.81</v>
      </c>
      <c r="AE33" s="22"/>
      <c r="AF33" s="16">
        <f t="shared" si="2"/>
        <v>98.50822222222223</v>
      </c>
    </row>
    <row r="34" spans="2:32" ht="15.75" x14ac:dyDescent="0.25">
      <c r="B34" s="20">
        <v>1000252417</v>
      </c>
      <c r="C34" s="19" t="s">
        <v>27</v>
      </c>
      <c r="D34" s="30">
        <v>100</v>
      </c>
      <c r="E34" s="31">
        <v>100</v>
      </c>
      <c r="F34" s="31">
        <v>100</v>
      </c>
      <c r="G34" s="31">
        <v>100</v>
      </c>
      <c r="H34" s="31">
        <v>100</v>
      </c>
      <c r="I34" s="31">
        <v>100</v>
      </c>
      <c r="J34" s="31">
        <v>100</v>
      </c>
      <c r="K34" s="35">
        <v>100</v>
      </c>
      <c r="L34" s="30">
        <v>100</v>
      </c>
      <c r="M34" s="31">
        <v>100</v>
      </c>
      <c r="N34" s="31">
        <v>100</v>
      </c>
      <c r="O34" s="31">
        <v>100</v>
      </c>
      <c r="P34" s="35">
        <v>85.72</v>
      </c>
      <c r="Q34" s="30">
        <v>100</v>
      </c>
      <c r="R34" s="31">
        <v>98.33</v>
      </c>
      <c r="S34" s="30">
        <v>100</v>
      </c>
      <c r="T34" s="31">
        <v>100</v>
      </c>
      <c r="U34" s="31">
        <v>100</v>
      </c>
      <c r="V34" s="37">
        <v>100</v>
      </c>
      <c r="W34" s="30">
        <v>100</v>
      </c>
      <c r="X34" s="31">
        <v>83.33</v>
      </c>
      <c r="Y34" s="9"/>
      <c r="Z34" s="9"/>
      <c r="AA34" s="9"/>
      <c r="AB34" s="21"/>
      <c r="AC34" s="15">
        <f t="shared" si="3"/>
        <v>98.981111111111105</v>
      </c>
      <c r="AD34" s="16">
        <f t="shared" si="4"/>
        <v>95.240000000000009</v>
      </c>
      <c r="AE34" s="22"/>
      <c r="AF34" s="16">
        <f t="shared" si="2"/>
        <v>96.736444444444459</v>
      </c>
    </row>
    <row r="35" spans="2:32" ht="15.75" x14ac:dyDescent="0.25">
      <c r="B35" s="20">
        <v>1004846295</v>
      </c>
      <c r="C35" s="19" t="s">
        <v>27</v>
      </c>
      <c r="D35" s="30">
        <v>100</v>
      </c>
      <c r="E35" s="31">
        <v>100</v>
      </c>
      <c r="F35" s="31">
        <v>100</v>
      </c>
      <c r="G35" s="31">
        <v>91.67</v>
      </c>
      <c r="H35" s="31">
        <v>100</v>
      </c>
      <c r="I35" s="31">
        <v>66.66</v>
      </c>
      <c r="J35" s="31">
        <v>66.66</v>
      </c>
      <c r="K35" s="35">
        <v>100</v>
      </c>
      <c r="L35" s="30">
        <v>100</v>
      </c>
      <c r="M35" s="31">
        <v>100</v>
      </c>
      <c r="N35" s="31">
        <v>100</v>
      </c>
      <c r="O35" s="31">
        <v>100</v>
      </c>
      <c r="P35" s="35">
        <v>100</v>
      </c>
      <c r="Q35" s="30">
        <v>100</v>
      </c>
      <c r="R35" s="31">
        <v>65</v>
      </c>
      <c r="S35" s="30">
        <v>100</v>
      </c>
      <c r="T35" s="31">
        <v>100</v>
      </c>
      <c r="U35" s="31">
        <v>100</v>
      </c>
      <c r="V35" s="37">
        <v>97.14</v>
      </c>
      <c r="W35" s="30">
        <v>100</v>
      </c>
      <c r="X35" s="31">
        <v>100</v>
      </c>
      <c r="Y35" s="9"/>
      <c r="Z35" s="9"/>
      <c r="AA35" s="9"/>
      <c r="AB35" s="21"/>
      <c r="AC35" s="15">
        <f t="shared" si="3"/>
        <v>93.888333333333335</v>
      </c>
      <c r="AD35" s="16">
        <f t="shared" si="4"/>
        <v>99.046666666666667</v>
      </c>
      <c r="AE35" s="22"/>
      <c r="AF35" s="16">
        <f t="shared" si="2"/>
        <v>96.983333333333334</v>
      </c>
    </row>
    <row r="36" spans="2:32" ht="15.75" x14ac:dyDescent="0.25">
      <c r="B36" s="20">
        <v>11189869</v>
      </c>
      <c r="C36" s="19" t="s">
        <v>27</v>
      </c>
      <c r="D36" s="30">
        <v>100</v>
      </c>
      <c r="E36" s="31">
        <v>100</v>
      </c>
      <c r="F36" s="33" t="s">
        <v>17</v>
      </c>
      <c r="G36" s="31">
        <v>100</v>
      </c>
      <c r="H36" s="31">
        <v>100</v>
      </c>
      <c r="I36" s="31">
        <v>100</v>
      </c>
      <c r="J36" s="31">
        <v>100</v>
      </c>
      <c r="K36" s="35">
        <v>100</v>
      </c>
      <c r="L36" s="30">
        <v>66.67</v>
      </c>
      <c r="M36" s="31">
        <v>100</v>
      </c>
      <c r="N36" s="31">
        <v>100</v>
      </c>
      <c r="O36" s="31">
        <v>100</v>
      </c>
      <c r="P36" s="35">
        <v>100</v>
      </c>
      <c r="Q36" s="30">
        <v>100</v>
      </c>
      <c r="R36" s="31">
        <v>98.33</v>
      </c>
      <c r="S36" s="30">
        <v>100</v>
      </c>
      <c r="T36" s="31">
        <v>100</v>
      </c>
      <c r="U36" s="31">
        <v>0</v>
      </c>
      <c r="V36" s="37">
        <v>93.57</v>
      </c>
      <c r="W36" s="30">
        <v>100</v>
      </c>
      <c r="X36" s="31">
        <v>100</v>
      </c>
      <c r="Y36" s="9"/>
      <c r="Z36" s="9"/>
      <c r="AA36" s="9"/>
      <c r="AB36" s="21"/>
      <c r="AC36" s="15">
        <f t="shared" si="3"/>
        <v>92.058823529411768</v>
      </c>
      <c r="AD36" s="16">
        <f t="shared" si="4"/>
        <v>97.856666666666669</v>
      </c>
      <c r="AE36" s="22"/>
      <c r="AF36" s="16">
        <f t="shared" si="2"/>
        <v>95.537529411764709</v>
      </c>
    </row>
    <row r="37" spans="2:32" ht="15.75" x14ac:dyDescent="0.25">
      <c r="B37" s="20">
        <v>1030669618</v>
      </c>
      <c r="C37" s="20" t="s">
        <v>28</v>
      </c>
      <c r="D37" s="30" t="s">
        <v>17</v>
      </c>
      <c r="E37" s="31">
        <v>100</v>
      </c>
      <c r="F37" s="31">
        <v>100</v>
      </c>
      <c r="G37" s="31">
        <v>100</v>
      </c>
      <c r="H37" s="31">
        <v>88.89</v>
      </c>
      <c r="I37" s="31">
        <v>100</v>
      </c>
      <c r="J37" s="31">
        <v>100</v>
      </c>
      <c r="K37" s="35">
        <v>85.71</v>
      </c>
      <c r="L37" s="30">
        <v>66.67</v>
      </c>
      <c r="M37" s="31">
        <v>100</v>
      </c>
      <c r="N37" s="31">
        <v>100</v>
      </c>
      <c r="O37" s="31">
        <v>100</v>
      </c>
      <c r="P37" s="35">
        <v>85.71</v>
      </c>
      <c r="Q37" s="30">
        <v>100</v>
      </c>
      <c r="R37" s="31">
        <v>98.33</v>
      </c>
      <c r="S37" s="30">
        <v>0</v>
      </c>
      <c r="T37" s="31">
        <v>0</v>
      </c>
      <c r="U37" s="31">
        <v>100</v>
      </c>
      <c r="V37" s="37">
        <v>85.71</v>
      </c>
      <c r="W37" s="30">
        <v>100</v>
      </c>
      <c r="X37" s="31">
        <v>100</v>
      </c>
      <c r="Y37" s="9"/>
      <c r="Z37" s="9"/>
      <c r="AA37" s="9"/>
      <c r="AB37" s="21"/>
      <c r="AC37" s="15">
        <f t="shared" si="3"/>
        <v>85.522941176470582</v>
      </c>
      <c r="AD37" s="16">
        <f t="shared" si="4"/>
        <v>85.71</v>
      </c>
      <c r="AE37" s="22"/>
      <c r="AF37" s="16">
        <f t="shared" si="2"/>
        <v>85.63517647058822</v>
      </c>
    </row>
    <row r="38" spans="2:32" ht="15.75" x14ac:dyDescent="0.25">
      <c r="B38" s="20">
        <v>1035862367</v>
      </c>
      <c r="C38" s="20" t="s">
        <v>28</v>
      </c>
      <c r="D38" s="30">
        <v>100</v>
      </c>
      <c r="E38" s="31">
        <v>100</v>
      </c>
      <c r="F38" s="31">
        <v>100</v>
      </c>
      <c r="G38" s="31">
        <v>100</v>
      </c>
      <c r="H38" s="31">
        <v>100</v>
      </c>
      <c r="I38" s="31">
        <v>100</v>
      </c>
      <c r="J38" s="31">
        <v>100</v>
      </c>
      <c r="K38" s="35">
        <v>100</v>
      </c>
      <c r="L38" s="30">
        <v>100</v>
      </c>
      <c r="M38" s="31" t="s">
        <v>18</v>
      </c>
      <c r="N38" s="31" t="s">
        <v>18</v>
      </c>
      <c r="O38" s="31" t="s">
        <v>18</v>
      </c>
      <c r="P38" s="35">
        <v>100</v>
      </c>
      <c r="Q38" s="30">
        <v>100</v>
      </c>
      <c r="R38" s="31">
        <v>98.33</v>
      </c>
      <c r="S38" s="30">
        <v>100</v>
      </c>
      <c r="T38" s="31">
        <v>100</v>
      </c>
      <c r="U38" s="31">
        <v>100</v>
      </c>
      <c r="V38" s="37">
        <v>100</v>
      </c>
      <c r="W38" s="30">
        <v>100</v>
      </c>
      <c r="X38" s="31">
        <v>100</v>
      </c>
      <c r="Y38" s="9"/>
      <c r="Z38" s="9"/>
      <c r="AA38" s="9"/>
      <c r="AB38" s="21"/>
      <c r="AC38" s="15">
        <f t="shared" si="3"/>
        <v>99.888666666666666</v>
      </c>
      <c r="AD38" s="16">
        <f t="shared" si="4"/>
        <v>100</v>
      </c>
      <c r="AE38" s="22"/>
      <c r="AF38" s="16">
        <f t="shared" si="2"/>
        <v>99.955466666666666</v>
      </c>
    </row>
    <row r="39" spans="2:32" ht="15.75" x14ac:dyDescent="0.25">
      <c r="B39" s="20">
        <v>1015422983</v>
      </c>
      <c r="C39" s="20" t="s">
        <v>28</v>
      </c>
      <c r="D39" s="30">
        <v>100</v>
      </c>
      <c r="E39" s="31">
        <v>100</v>
      </c>
      <c r="F39" s="31">
        <v>100</v>
      </c>
      <c r="G39" s="31">
        <v>100</v>
      </c>
      <c r="H39" s="31">
        <v>100</v>
      </c>
      <c r="I39" s="31">
        <v>100</v>
      </c>
      <c r="J39" s="31">
        <v>100</v>
      </c>
      <c r="K39" s="35">
        <v>85.71</v>
      </c>
      <c r="L39" s="30">
        <v>100</v>
      </c>
      <c r="M39" s="31">
        <v>100</v>
      </c>
      <c r="N39" s="31">
        <v>100</v>
      </c>
      <c r="O39" s="31">
        <v>100</v>
      </c>
      <c r="P39" s="35">
        <v>100</v>
      </c>
      <c r="Q39" s="30">
        <v>100</v>
      </c>
      <c r="R39" s="31">
        <v>98.33</v>
      </c>
      <c r="S39" s="30">
        <v>100</v>
      </c>
      <c r="T39" s="31">
        <v>100</v>
      </c>
      <c r="U39" s="31">
        <v>100</v>
      </c>
      <c r="V39" s="37">
        <v>100</v>
      </c>
      <c r="W39" s="30">
        <v>100</v>
      </c>
      <c r="X39" s="31">
        <v>100</v>
      </c>
      <c r="Y39" s="9"/>
      <c r="Z39" s="9"/>
      <c r="AA39" s="9"/>
      <c r="AB39" s="21"/>
      <c r="AC39" s="15">
        <f t="shared" si="3"/>
        <v>99.907222222222217</v>
      </c>
      <c r="AD39" s="16">
        <f t="shared" si="4"/>
        <v>95.236666666666665</v>
      </c>
      <c r="AE39" s="22"/>
      <c r="AF39" s="16">
        <f t="shared" si="2"/>
        <v>97.104888888888894</v>
      </c>
    </row>
    <row r="40" spans="2:32" ht="15.75" x14ac:dyDescent="0.25">
      <c r="B40" s="20">
        <v>1037634420</v>
      </c>
      <c r="C40" s="20" t="s">
        <v>28</v>
      </c>
      <c r="D40" s="30">
        <v>100</v>
      </c>
      <c r="E40" s="31">
        <v>100</v>
      </c>
      <c r="F40" s="31">
        <v>100</v>
      </c>
      <c r="G40" s="31">
        <v>100</v>
      </c>
      <c r="H40" s="31">
        <v>100</v>
      </c>
      <c r="I40" s="31">
        <v>100</v>
      </c>
      <c r="J40" s="31">
        <v>100</v>
      </c>
      <c r="K40" s="35">
        <v>100</v>
      </c>
      <c r="L40" s="30">
        <v>66.67</v>
      </c>
      <c r="M40" s="31">
        <v>100</v>
      </c>
      <c r="N40" s="31">
        <v>100</v>
      </c>
      <c r="O40" s="31">
        <v>100</v>
      </c>
      <c r="P40" s="35">
        <v>100</v>
      </c>
      <c r="Q40" s="30">
        <v>100</v>
      </c>
      <c r="R40" s="31">
        <v>98.33</v>
      </c>
      <c r="S40" s="30">
        <v>100</v>
      </c>
      <c r="T40" s="31">
        <v>100</v>
      </c>
      <c r="U40" s="31">
        <v>100</v>
      </c>
      <c r="V40" s="37">
        <v>100</v>
      </c>
      <c r="W40" s="30">
        <v>100</v>
      </c>
      <c r="X40" s="31">
        <v>100</v>
      </c>
      <c r="Y40" s="9"/>
      <c r="Z40" s="9"/>
      <c r="AA40" s="9"/>
      <c r="AB40" s="21"/>
      <c r="AC40" s="15">
        <f t="shared" si="3"/>
        <v>98.055555555555557</v>
      </c>
      <c r="AD40" s="16">
        <f t="shared" si="4"/>
        <v>100</v>
      </c>
      <c r="AE40" s="22"/>
      <c r="AF40" s="16">
        <f t="shared" si="2"/>
        <v>99.222222222222229</v>
      </c>
    </row>
    <row r="41" spans="2:32" ht="15.75" x14ac:dyDescent="0.25">
      <c r="B41" s="24">
        <v>80004828</v>
      </c>
      <c r="C41" s="20" t="s">
        <v>28</v>
      </c>
      <c r="D41" s="30">
        <v>100</v>
      </c>
      <c r="E41" s="31">
        <v>100</v>
      </c>
      <c r="F41" s="31">
        <v>100</v>
      </c>
      <c r="G41" s="31">
        <v>100</v>
      </c>
      <c r="H41" s="31">
        <v>100</v>
      </c>
      <c r="I41" s="31">
        <v>100</v>
      </c>
      <c r="J41" s="31">
        <v>100</v>
      </c>
      <c r="K41" s="35">
        <v>100</v>
      </c>
      <c r="L41" s="30">
        <v>100</v>
      </c>
      <c r="M41" s="31">
        <v>100</v>
      </c>
      <c r="N41" s="31">
        <v>100</v>
      </c>
      <c r="O41" s="31">
        <v>100</v>
      </c>
      <c r="P41" s="35">
        <v>100</v>
      </c>
      <c r="Q41" s="30">
        <v>100</v>
      </c>
      <c r="R41" s="31">
        <v>98.33</v>
      </c>
      <c r="S41" s="30">
        <v>100</v>
      </c>
      <c r="T41" s="31">
        <v>100</v>
      </c>
      <c r="U41" s="31">
        <v>100</v>
      </c>
      <c r="V41" s="37">
        <v>100</v>
      </c>
      <c r="W41" s="30">
        <v>100</v>
      </c>
      <c r="X41" s="31">
        <v>100</v>
      </c>
      <c r="Y41" s="9"/>
      <c r="Z41" s="9"/>
      <c r="AA41" s="9"/>
      <c r="AB41" s="21"/>
      <c r="AC41" s="15">
        <f t="shared" ref="AC41:AC63" si="5">AVERAGE(D41:J41,L41:O41,Q41:U41,W41:AA41)</f>
        <v>99.907222222222217</v>
      </c>
      <c r="AD41" s="16">
        <f t="shared" ref="AD41:AD63" si="6">AVERAGE(K41,P41,V41,AB41)</f>
        <v>100</v>
      </c>
      <c r="AE41" s="22"/>
      <c r="AF41" s="16">
        <f t="shared" si="2"/>
        <v>99.962888888888898</v>
      </c>
    </row>
    <row r="42" spans="2:32" ht="15.75" x14ac:dyDescent="0.25">
      <c r="B42" s="20">
        <v>1014234343</v>
      </c>
      <c r="C42" s="20" t="s">
        <v>28</v>
      </c>
      <c r="D42" s="30">
        <v>100</v>
      </c>
      <c r="E42" s="31">
        <v>100</v>
      </c>
      <c r="F42" s="31">
        <v>100</v>
      </c>
      <c r="G42" s="31">
        <v>100</v>
      </c>
      <c r="H42" s="31">
        <v>100</v>
      </c>
      <c r="I42" s="31">
        <v>100</v>
      </c>
      <c r="J42" s="31">
        <v>100</v>
      </c>
      <c r="K42" s="35">
        <v>85.71</v>
      </c>
      <c r="L42" s="30">
        <v>66.67</v>
      </c>
      <c r="M42" s="31">
        <v>100</v>
      </c>
      <c r="N42" s="31">
        <v>100</v>
      </c>
      <c r="O42" s="31">
        <v>100</v>
      </c>
      <c r="P42" s="35">
        <v>100</v>
      </c>
      <c r="Q42" s="30">
        <v>100</v>
      </c>
      <c r="R42" s="31">
        <v>100</v>
      </c>
      <c r="S42" s="30">
        <v>100</v>
      </c>
      <c r="T42" s="31">
        <v>100</v>
      </c>
      <c r="U42" s="31">
        <v>100</v>
      </c>
      <c r="V42" s="37">
        <v>100</v>
      </c>
      <c r="W42" s="30">
        <v>100</v>
      </c>
      <c r="X42" s="31">
        <v>100</v>
      </c>
      <c r="Y42" s="9"/>
      <c r="Z42" s="9"/>
      <c r="AA42" s="9"/>
      <c r="AB42" s="21"/>
      <c r="AC42" s="15">
        <f t="shared" si="5"/>
        <v>98.148333333333341</v>
      </c>
      <c r="AD42" s="16">
        <f t="shared" si="6"/>
        <v>95.236666666666665</v>
      </c>
      <c r="AE42" s="22"/>
      <c r="AF42" s="16">
        <f t="shared" si="2"/>
        <v>96.401333333333326</v>
      </c>
    </row>
    <row r="43" spans="2:32" ht="15.75" x14ac:dyDescent="0.25">
      <c r="B43" s="20">
        <v>1022400421</v>
      </c>
      <c r="C43" s="20" t="s">
        <v>28</v>
      </c>
      <c r="D43" s="30">
        <v>100</v>
      </c>
      <c r="E43" s="31">
        <v>100</v>
      </c>
      <c r="F43" s="31">
        <v>100</v>
      </c>
      <c r="G43" s="31">
        <v>100</v>
      </c>
      <c r="H43" s="31">
        <v>100</v>
      </c>
      <c r="I43" s="31">
        <v>100</v>
      </c>
      <c r="J43" s="31">
        <v>100</v>
      </c>
      <c r="K43" s="35">
        <v>100</v>
      </c>
      <c r="L43" s="30">
        <v>100</v>
      </c>
      <c r="M43" s="31">
        <v>100</v>
      </c>
      <c r="N43" s="31">
        <v>100</v>
      </c>
      <c r="O43" s="31">
        <v>100</v>
      </c>
      <c r="P43" s="35">
        <v>100</v>
      </c>
      <c r="Q43" s="30">
        <v>100</v>
      </c>
      <c r="R43" s="31">
        <v>100</v>
      </c>
      <c r="S43" s="30">
        <v>100</v>
      </c>
      <c r="T43" s="31">
        <v>100</v>
      </c>
      <c r="U43" s="31">
        <v>100</v>
      </c>
      <c r="V43" s="37">
        <v>100</v>
      </c>
      <c r="W43" s="30">
        <v>100</v>
      </c>
      <c r="X43" s="31">
        <v>100</v>
      </c>
      <c r="Y43" s="9"/>
      <c r="Z43" s="9"/>
      <c r="AA43" s="9"/>
      <c r="AB43" s="21"/>
      <c r="AC43" s="15">
        <f t="shared" si="5"/>
        <v>100</v>
      </c>
      <c r="AD43" s="16">
        <f t="shared" si="6"/>
        <v>100</v>
      </c>
      <c r="AE43" s="22"/>
      <c r="AF43" s="16">
        <f t="shared" si="2"/>
        <v>100</v>
      </c>
    </row>
    <row r="44" spans="2:32" ht="15.75" x14ac:dyDescent="0.25">
      <c r="B44" s="20">
        <v>1018448313</v>
      </c>
      <c r="C44" s="20" t="s">
        <v>28</v>
      </c>
      <c r="D44" s="30">
        <v>100</v>
      </c>
      <c r="E44" s="31">
        <v>100</v>
      </c>
      <c r="F44" s="31">
        <v>100</v>
      </c>
      <c r="G44" s="31">
        <v>100</v>
      </c>
      <c r="H44" s="31">
        <v>100</v>
      </c>
      <c r="I44" s="31">
        <v>66.66</v>
      </c>
      <c r="J44" s="31">
        <v>100</v>
      </c>
      <c r="K44" s="35">
        <v>100</v>
      </c>
      <c r="L44" s="30">
        <v>100</v>
      </c>
      <c r="M44" s="31">
        <v>100</v>
      </c>
      <c r="N44" s="31">
        <v>66.66</v>
      </c>
      <c r="O44" s="31">
        <v>100</v>
      </c>
      <c r="P44" s="35">
        <v>100</v>
      </c>
      <c r="Q44" s="30">
        <v>100</v>
      </c>
      <c r="R44" s="31">
        <v>98.33</v>
      </c>
      <c r="S44" s="30">
        <v>100</v>
      </c>
      <c r="T44" s="31">
        <v>100</v>
      </c>
      <c r="U44" s="31">
        <v>100</v>
      </c>
      <c r="V44" s="37">
        <v>100</v>
      </c>
      <c r="W44" s="30">
        <v>100</v>
      </c>
      <c r="X44" s="31">
        <v>100</v>
      </c>
      <c r="Y44" s="9"/>
      <c r="Z44" s="9"/>
      <c r="AA44" s="9"/>
      <c r="AB44" s="21"/>
      <c r="AC44" s="15">
        <f t="shared" si="5"/>
        <v>96.202777777777769</v>
      </c>
      <c r="AD44" s="16">
        <f t="shared" si="6"/>
        <v>100</v>
      </c>
      <c r="AE44" s="22"/>
      <c r="AF44" s="16">
        <f t="shared" si="2"/>
        <v>98.481111111111119</v>
      </c>
    </row>
    <row r="45" spans="2:32" ht="15.75" x14ac:dyDescent="0.25">
      <c r="B45" s="20">
        <v>1020812160</v>
      </c>
      <c r="C45" s="20" t="s">
        <v>28</v>
      </c>
      <c r="D45" s="30">
        <v>100</v>
      </c>
      <c r="E45" s="31">
        <v>100</v>
      </c>
      <c r="F45" s="33" t="s">
        <v>17</v>
      </c>
      <c r="G45" s="31">
        <v>100</v>
      </c>
      <c r="H45" s="31" t="s">
        <v>18</v>
      </c>
      <c r="I45" s="31" t="s">
        <v>18</v>
      </c>
      <c r="J45" s="31" t="s">
        <v>18</v>
      </c>
      <c r="K45" s="35" t="s">
        <v>18</v>
      </c>
      <c r="L45" s="30" t="s">
        <v>18</v>
      </c>
      <c r="M45" s="31">
        <v>100</v>
      </c>
      <c r="N45" s="31">
        <v>100</v>
      </c>
      <c r="O45" s="31">
        <v>100</v>
      </c>
      <c r="P45" s="35">
        <v>100</v>
      </c>
      <c r="Q45" s="30">
        <v>100</v>
      </c>
      <c r="R45" s="31">
        <v>100</v>
      </c>
      <c r="S45" s="30">
        <v>100</v>
      </c>
      <c r="T45" s="31">
        <v>100</v>
      </c>
      <c r="U45" s="31">
        <v>100</v>
      </c>
      <c r="V45" s="37">
        <v>100</v>
      </c>
      <c r="W45" s="30">
        <v>100</v>
      </c>
      <c r="X45" s="31">
        <v>100</v>
      </c>
      <c r="Y45" s="9"/>
      <c r="Z45" s="9"/>
      <c r="AA45" s="9"/>
      <c r="AB45" s="21"/>
      <c r="AC45" s="15">
        <f t="shared" si="5"/>
        <v>100</v>
      </c>
      <c r="AD45" s="16">
        <f t="shared" si="6"/>
        <v>100</v>
      </c>
      <c r="AE45" s="22"/>
      <c r="AF45" s="16">
        <f t="shared" si="2"/>
        <v>100</v>
      </c>
    </row>
    <row r="46" spans="2:32" ht="15.75" x14ac:dyDescent="0.25">
      <c r="B46" s="20">
        <v>1020739610</v>
      </c>
      <c r="C46" s="20" t="s">
        <v>28</v>
      </c>
      <c r="D46" s="30">
        <v>100</v>
      </c>
      <c r="E46" s="31">
        <v>100</v>
      </c>
      <c r="F46" s="31">
        <v>100</v>
      </c>
      <c r="G46" s="31">
        <v>100</v>
      </c>
      <c r="H46" s="31">
        <v>100</v>
      </c>
      <c r="I46" s="31">
        <v>100</v>
      </c>
      <c r="J46" s="31">
        <v>100</v>
      </c>
      <c r="K46" s="35">
        <v>100</v>
      </c>
      <c r="L46" s="30">
        <v>100</v>
      </c>
      <c r="M46" s="31">
        <v>100</v>
      </c>
      <c r="N46" s="31">
        <v>100</v>
      </c>
      <c r="O46" s="31">
        <v>100</v>
      </c>
      <c r="P46" s="35">
        <v>100</v>
      </c>
      <c r="Q46" s="30">
        <v>66.66</v>
      </c>
      <c r="R46" s="31">
        <v>100</v>
      </c>
      <c r="S46" s="30">
        <v>100</v>
      </c>
      <c r="T46" s="31">
        <v>100</v>
      </c>
      <c r="U46" s="31">
        <v>100</v>
      </c>
      <c r="V46" s="37">
        <v>100</v>
      </c>
      <c r="W46" s="30">
        <v>100</v>
      </c>
      <c r="X46" s="31">
        <v>100</v>
      </c>
      <c r="Y46" s="9"/>
      <c r="Z46" s="9"/>
      <c r="AA46" s="9"/>
      <c r="AB46" s="21"/>
      <c r="AC46" s="15">
        <f t="shared" si="5"/>
        <v>98.147777777777776</v>
      </c>
      <c r="AD46" s="16">
        <f t="shared" si="6"/>
        <v>100</v>
      </c>
      <c r="AE46" s="22"/>
      <c r="AF46" s="16">
        <f t="shared" si="2"/>
        <v>99.25911111111111</v>
      </c>
    </row>
    <row r="47" spans="2:32" ht="15.75" x14ac:dyDescent="0.25">
      <c r="B47" s="20">
        <v>1024544635</v>
      </c>
      <c r="C47" s="20" t="s">
        <v>28</v>
      </c>
      <c r="D47" s="30">
        <v>100</v>
      </c>
      <c r="E47" s="31">
        <v>100</v>
      </c>
      <c r="F47" s="31">
        <v>100</v>
      </c>
      <c r="G47" s="31">
        <v>100</v>
      </c>
      <c r="H47" s="31">
        <v>100</v>
      </c>
      <c r="I47" s="31">
        <v>66.66</v>
      </c>
      <c r="J47" s="31">
        <v>100</v>
      </c>
      <c r="K47" s="35">
        <v>100</v>
      </c>
      <c r="L47" s="30">
        <v>100</v>
      </c>
      <c r="M47" s="31">
        <v>100</v>
      </c>
      <c r="N47" s="31">
        <v>100</v>
      </c>
      <c r="O47" s="31">
        <v>100</v>
      </c>
      <c r="P47" s="35">
        <v>100</v>
      </c>
      <c r="Q47" s="30">
        <v>100</v>
      </c>
      <c r="R47" s="31">
        <v>98.33</v>
      </c>
      <c r="S47" s="30">
        <v>100</v>
      </c>
      <c r="T47" s="31">
        <v>100</v>
      </c>
      <c r="U47" s="31">
        <v>100</v>
      </c>
      <c r="V47" s="37">
        <v>100</v>
      </c>
      <c r="W47" s="30">
        <v>100</v>
      </c>
      <c r="X47" s="31">
        <v>100</v>
      </c>
      <c r="Y47" s="9"/>
      <c r="Z47" s="9"/>
      <c r="AA47" s="9"/>
      <c r="AB47" s="21"/>
      <c r="AC47" s="15">
        <f t="shared" si="5"/>
        <v>98.054999999999993</v>
      </c>
      <c r="AD47" s="16">
        <f t="shared" si="6"/>
        <v>100</v>
      </c>
      <c r="AE47" s="22"/>
      <c r="AF47" s="16">
        <f t="shared" si="2"/>
        <v>99.222000000000008</v>
      </c>
    </row>
    <row r="48" spans="2:32" ht="15.75" x14ac:dyDescent="0.25">
      <c r="B48" s="20">
        <v>1012431491</v>
      </c>
      <c r="C48" s="20" t="s">
        <v>28</v>
      </c>
      <c r="D48" s="30">
        <v>100</v>
      </c>
      <c r="E48" s="31">
        <v>100</v>
      </c>
      <c r="F48" s="31">
        <v>100</v>
      </c>
      <c r="G48" s="31">
        <v>100</v>
      </c>
      <c r="H48" s="31">
        <v>100</v>
      </c>
      <c r="I48" s="31">
        <v>100</v>
      </c>
      <c r="J48" s="31">
        <v>100</v>
      </c>
      <c r="K48" s="35">
        <v>100</v>
      </c>
      <c r="L48" s="30">
        <v>100</v>
      </c>
      <c r="M48" s="31">
        <v>100</v>
      </c>
      <c r="N48" s="31">
        <v>100</v>
      </c>
      <c r="O48" s="31">
        <v>100</v>
      </c>
      <c r="P48" s="35">
        <v>85.72</v>
      </c>
      <c r="Q48" s="30">
        <v>66.66</v>
      </c>
      <c r="R48" s="31">
        <v>98.33</v>
      </c>
      <c r="S48" s="30">
        <v>100</v>
      </c>
      <c r="T48" s="31">
        <v>100</v>
      </c>
      <c r="U48" s="31">
        <v>100</v>
      </c>
      <c r="V48" s="37">
        <v>100</v>
      </c>
      <c r="W48" s="30">
        <v>100</v>
      </c>
      <c r="X48" s="31">
        <v>100</v>
      </c>
      <c r="Y48" s="9"/>
      <c r="Z48" s="9"/>
      <c r="AA48" s="9"/>
      <c r="AB48" s="21"/>
      <c r="AC48" s="15">
        <f t="shared" si="5"/>
        <v>98.055000000000007</v>
      </c>
      <c r="AD48" s="16">
        <f t="shared" si="6"/>
        <v>95.240000000000009</v>
      </c>
      <c r="AE48" s="22"/>
      <c r="AF48" s="16">
        <f t="shared" si="2"/>
        <v>96.366000000000014</v>
      </c>
    </row>
    <row r="49" spans="2:32" ht="15.75" x14ac:dyDescent="0.25">
      <c r="B49" s="20">
        <v>1233510935</v>
      </c>
      <c r="C49" s="20" t="s">
        <v>28</v>
      </c>
      <c r="D49" s="30">
        <v>100</v>
      </c>
      <c r="E49" s="31">
        <v>100</v>
      </c>
      <c r="F49" s="31">
        <v>100</v>
      </c>
      <c r="G49" s="31">
        <v>91.67</v>
      </c>
      <c r="H49" s="31">
        <v>100</v>
      </c>
      <c r="I49" s="31">
        <v>100</v>
      </c>
      <c r="J49" s="31">
        <v>100</v>
      </c>
      <c r="K49" s="35">
        <v>100</v>
      </c>
      <c r="L49" s="30">
        <v>100</v>
      </c>
      <c r="M49" s="31">
        <v>100</v>
      </c>
      <c r="N49" s="31">
        <v>100</v>
      </c>
      <c r="O49" s="31">
        <v>100</v>
      </c>
      <c r="P49" s="35">
        <v>0</v>
      </c>
      <c r="Q49" s="30">
        <v>0</v>
      </c>
      <c r="R49" s="31">
        <v>0</v>
      </c>
      <c r="S49" s="30">
        <v>0</v>
      </c>
      <c r="T49" s="31">
        <v>0</v>
      </c>
      <c r="U49" s="31">
        <v>0</v>
      </c>
      <c r="V49" s="37">
        <v>0</v>
      </c>
      <c r="W49" s="30">
        <v>0</v>
      </c>
      <c r="X49" s="31">
        <v>0</v>
      </c>
      <c r="Y49" s="9"/>
      <c r="Z49" s="9"/>
      <c r="AA49" s="9"/>
      <c r="AB49" s="21"/>
      <c r="AC49" s="15">
        <f t="shared" si="5"/>
        <v>60.648333333333341</v>
      </c>
      <c r="AD49" s="16">
        <f t="shared" si="6"/>
        <v>33.333333333333336</v>
      </c>
      <c r="AE49" s="22"/>
      <c r="AF49" s="16">
        <f t="shared" si="2"/>
        <v>44.259333333333338</v>
      </c>
    </row>
    <row r="50" spans="2:32" ht="15.75" x14ac:dyDescent="0.25">
      <c r="B50" s="20">
        <v>1000834030</v>
      </c>
      <c r="C50" s="20" t="s">
        <v>28</v>
      </c>
      <c r="D50" s="32" t="s">
        <v>16</v>
      </c>
      <c r="E50" s="31">
        <v>100</v>
      </c>
      <c r="F50" s="31">
        <v>100</v>
      </c>
      <c r="G50" s="31">
        <v>100</v>
      </c>
      <c r="H50" s="31" t="s">
        <v>18</v>
      </c>
      <c r="I50" s="31" t="s">
        <v>18</v>
      </c>
      <c r="J50" s="31" t="s">
        <v>18</v>
      </c>
      <c r="K50" s="35" t="s">
        <v>18</v>
      </c>
      <c r="L50" s="30" t="s">
        <v>18</v>
      </c>
      <c r="M50" s="31">
        <v>100</v>
      </c>
      <c r="N50" s="31">
        <v>100</v>
      </c>
      <c r="O50" s="31">
        <v>100</v>
      </c>
      <c r="P50" s="35">
        <v>100</v>
      </c>
      <c r="Q50" s="30">
        <v>100</v>
      </c>
      <c r="R50" s="31">
        <v>98.33</v>
      </c>
      <c r="S50" s="30">
        <v>100</v>
      </c>
      <c r="T50" s="31">
        <v>66.67</v>
      </c>
      <c r="U50" s="31">
        <v>100</v>
      </c>
      <c r="V50" s="37">
        <v>77.86</v>
      </c>
      <c r="W50" s="30">
        <v>100</v>
      </c>
      <c r="X50" s="31">
        <v>94.44</v>
      </c>
      <c r="Y50" s="9"/>
      <c r="Z50" s="9"/>
      <c r="AA50" s="9"/>
      <c r="AB50" s="21"/>
      <c r="AC50" s="15">
        <f t="shared" si="5"/>
        <v>96.88000000000001</v>
      </c>
      <c r="AD50" s="16">
        <f t="shared" si="6"/>
        <v>88.93</v>
      </c>
      <c r="AE50" s="22"/>
      <c r="AF50" s="16">
        <f t="shared" si="2"/>
        <v>92.110000000000014</v>
      </c>
    </row>
    <row r="51" spans="2:32" ht="15.75" x14ac:dyDescent="0.25">
      <c r="B51" s="20">
        <v>1137179208</v>
      </c>
      <c r="C51" s="20" t="s">
        <v>28</v>
      </c>
      <c r="D51" s="30">
        <v>100</v>
      </c>
      <c r="E51" s="31">
        <v>100</v>
      </c>
      <c r="F51" s="31">
        <v>100</v>
      </c>
      <c r="G51" s="31">
        <v>100</v>
      </c>
      <c r="H51" s="31">
        <v>100</v>
      </c>
      <c r="I51" s="31">
        <v>100</v>
      </c>
      <c r="J51" s="31">
        <v>100</v>
      </c>
      <c r="K51" s="35">
        <v>100</v>
      </c>
      <c r="L51" s="30">
        <v>100</v>
      </c>
      <c r="M51" s="31">
        <v>100</v>
      </c>
      <c r="N51" s="31">
        <v>0</v>
      </c>
      <c r="O51" s="31">
        <v>100</v>
      </c>
      <c r="P51" s="35">
        <v>100</v>
      </c>
      <c r="Q51" s="30">
        <v>100</v>
      </c>
      <c r="R51" s="31" t="e">
        <v>#N/A</v>
      </c>
      <c r="S51" s="30">
        <v>100</v>
      </c>
      <c r="T51" s="31">
        <v>100</v>
      </c>
      <c r="U51" s="31">
        <v>100</v>
      </c>
      <c r="V51" s="37">
        <v>100</v>
      </c>
      <c r="W51" s="30">
        <v>100</v>
      </c>
      <c r="X51" s="31">
        <v>100</v>
      </c>
      <c r="Y51" s="9"/>
      <c r="Z51" s="9"/>
      <c r="AA51" s="9"/>
      <c r="AB51" s="21"/>
      <c r="AC51" s="15" t="e">
        <f t="shared" si="5"/>
        <v>#N/A</v>
      </c>
      <c r="AD51" s="16">
        <f t="shared" si="6"/>
        <v>100</v>
      </c>
      <c r="AE51" s="22"/>
      <c r="AF51" s="16" t="e">
        <f t="shared" si="2"/>
        <v>#N/A</v>
      </c>
    </row>
    <row r="52" spans="2:32" ht="15.75" x14ac:dyDescent="0.25">
      <c r="B52" s="20">
        <v>1000987233</v>
      </c>
      <c r="C52" s="20" t="s">
        <v>28</v>
      </c>
      <c r="D52" s="30">
        <v>100</v>
      </c>
      <c r="E52" s="31">
        <v>100</v>
      </c>
      <c r="F52" s="31">
        <v>100</v>
      </c>
      <c r="G52" s="31">
        <v>100</v>
      </c>
      <c r="H52" s="31">
        <v>100</v>
      </c>
      <c r="I52" s="31">
        <v>100</v>
      </c>
      <c r="J52" s="31">
        <v>100</v>
      </c>
      <c r="K52" s="35">
        <v>100</v>
      </c>
      <c r="L52" s="30">
        <v>100</v>
      </c>
      <c r="M52" s="31">
        <v>100</v>
      </c>
      <c r="N52" s="31">
        <v>100</v>
      </c>
      <c r="O52" s="31">
        <v>100</v>
      </c>
      <c r="P52" s="35">
        <v>100</v>
      </c>
      <c r="Q52" s="30">
        <v>100</v>
      </c>
      <c r="R52" s="31">
        <v>100</v>
      </c>
      <c r="S52" s="30">
        <v>100</v>
      </c>
      <c r="T52" s="31">
        <v>100</v>
      </c>
      <c r="U52" s="31">
        <v>100</v>
      </c>
      <c r="V52" s="37">
        <v>100</v>
      </c>
      <c r="W52" s="30">
        <v>100</v>
      </c>
      <c r="X52" s="31">
        <v>100</v>
      </c>
      <c r="Y52" s="9"/>
      <c r="Z52" s="9"/>
      <c r="AA52" s="9"/>
      <c r="AB52" s="21"/>
      <c r="AC52" s="15">
        <f t="shared" si="5"/>
        <v>100</v>
      </c>
      <c r="AD52" s="16">
        <f t="shared" si="6"/>
        <v>100</v>
      </c>
      <c r="AE52" s="22"/>
      <c r="AF52" s="16">
        <f t="shared" si="2"/>
        <v>100</v>
      </c>
    </row>
    <row r="53" spans="2:32" ht="15.75" x14ac:dyDescent="0.25">
      <c r="B53" s="20">
        <v>1013682595</v>
      </c>
      <c r="C53" s="20" t="s">
        <v>28</v>
      </c>
      <c r="D53" s="30">
        <v>100</v>
      </c>
      <c r="E53" s="31">
        <v>100</v>
      </c>
      <c r="F53" s="31">
        <v>100</v>
      </c>
      <c r="G53" s="31">
        <v>100</v>
      </c>
      <c r="H53" s="31">
        <v>100</v>
      </c>
      <c r="I53" s="31">
        <v>100</v>
      </c>
      <c r="J53" s="31">
        <v>100</v>
      </c>
      <c r="K53" s="35">
        <v>100</v>
      </c>
      <c r="L53" s="30">
        <v>100</v>
      </c>
      <c r="M53" s="31">
        <v>100</v>
      </c>
      <c r="N53" s="31">
        <v>100</v>
      </c>
      <c r="O53" s="31">
        <v>100</v>
      </c>
      <c r="P53" s="35">
        <v>100</v>
      </c>
      <c r="Q53" s="30">
        <v>100</v>
      </c>
      <c r="R53" s="31">
        <v>98.33</v>
      </c>
      <c r="S53" s="30">
        <v>100</v>
      </c>
      <c r="T53" s="31">
        <v>100</v>
      </c>
      <c r="U53" s="31">
        <v>100</v>
      </c>
      <c r="V53" s="37">
        <v>100</v>
      </c>
      <c r="W53" s="30">
        <v>100</v>
      </c>
      <c r="X53" s="31">
        <v>100</v>
      </c>
      <c r="Y53" s="9"/>
      <c r="Z53" s="9"/>
      <c r="AA53" s="9"/>
      <c r="AB53" s="21"/>
      <c r="AC53" s="15">
        <f t="shared" si="5"/>
        <v>99.907222222222217</v>
      </c>
      <c r="AD53" s="16">
        <f t="shared" si="6"/>
        <v>100</v>
      </c>
      <c r="AE53" s="22"/>
      <c r="AF53" s="16">
        <f t="shared" si="2"/>
        <v>99.962888888888898</v>
      </c>
    </row>
    <row r="54" spans="2:32" ht="15.75" x14ac:dyDescent="0.25">
      <c r="B54" s="20">
        <v>1024566537</v>
      </c>
      <c r="C54" s="20" t="s">
        <v>28</v>
      </c>
      <c r="D54" s="30">
        <v>100</v>
      </c>
      <c r="E54" s="31">
        <v>100</v>
      </c>
      <c r="F54" s="31">
        <v>100</v>
      </c>
      <c r="G54" s="31">
        <v>100</v>
      </c>
      <c r="H54" s="31">
        <v>100</v>
      </c>
      <c r="I54" s="31">
        <v>100</v>
      </c>
      <c r="J54" s="31">
        <v>100</v>
      </c>
      <c r="K54" s="35">
        <v>100</v>
      </c>
      <c r="L54" s="30">
        <v>100</v>
      </c>
      <c r="M54" s="31">
        <v>100</v>
      </c>
      <c r="N54" s="31">
        <v>100</v>
      </c>
      <c r="O54" s="31">
        <v>100</v>
      </c>
      <c r="P54" s="35">
        <v>100</v>
      </c>
      <c r="Q54" s="30">
        <v>100</v>
      </c>
      <c r="R54" s="31">
        <v>100</v>
      </c>
      <c r="S54" s="30">
        <v>100</v>
      </c>
      <c r="T54" s="31">
        <v>100</v>
      </c>
      <c r="U54" s="31">
        <v>100</v>
      </c>
      <c r="V54" s="37">
        <v>100</v>
      </c>
      <c r="W54" s="30">
        <v>100</v>
      </c>
      <c r="X54" s="33" t="s">
        <v>18</v>
      </c>
      <c r="Y54" s="9"/>
      <c r="Z54" s="9"/>
      <c r="AA54" s="9"/>
      <c r="AB54" s="21"/>
      <c r="AC54" s="15">
        <f t="shared" si="5"/>
        <v>100</v>
      </c>
      <c r="AD54" s="16">
        <f t="shared" si="6"/>
        <v>100</v>
      </c>
      <c r="AE54" s="22"/>
      <c r="AF54" s="16">
        <f t="shared" si="2"/>
        <v>100</v>
      </c>
    </row>
    <row r="55" spans="2:32" ht="15.75" x14ac:dyDescent="0.25">
      <c r="B55" s="20">
        <v>12918913</v>
      </c>
      <c r="C55" s="20" t="s">
        <v>28</v>
      </c>
      <c r="D55" s="32" t="s">
        <v>18</v>
      </c>
      <c r="E55" s="33" t="s">
        <v>18</v>
      </c>
      <c r="F55" s="33" t="s">
        <v>18</v>
      </c>
      <c r="G55" s="31">
        <v>100</v>
      </c>
      <c r="H55" s="31">
        <v>100</v>
      </c>
      <c r="I55" s="31">
        <v>100</v>
      </c>
      <c r="J55" s="31">
        <v>66.66</v>
      </c>
      <c r="K55" s="35">
        <v>85.71</v>
      </c>
      <c r="L55" s="30">
        <v>100</v>
      </c>
      <c r="M55" s="31">
        <v>100</v>
      </c>
      <c r="N55" s="31">
        <v>100</v>
      </c>
      <c r="O55" s="31">
        <v>100</v>
      </c>
      <c r="P55" s="35">
        <v>100</v>
      </c>
      <c r="Q55" s="30">
        <v>100</v>
      </c>
      <c r="R55" s="31">
        <v>100</v>
      </c>
      <c r="S55" s="30">
        <v>100</v>
      </c>
      <c r="T55" s="31">
        <v>100</v>
      </c>
      <c r="U55" s="31">
        <v>100</v>
      </c>
      <c r="V55" s="37">
        <v>100</v>
      </c>
      <c r="W55" s="30">
        <v>100</v>
      </c>
      <c r="X55" s="31">
        <v>66.67</v>
      </c>
      <c r="Y55" s="9"/>
      <c r="Z55" s="9"/>
      <c r="AA55" s="9"/>
      <c r="AB55" s="21"/>
      <c r="AC55" s="15">
        <f t="shared" si="5"/>
        <v>95.555333333333323</v>
      </c>
      <c r="AD55" s="16">
        <f t="shared" si="6"/>
        <v>95.236666666666665</v>
      </c>
      <c r="AE55" s="22"/>
      <c r="AF55" s="16">
        <f t="shared" si="2"/>
        <v>95.364133333333328</v>
      </c>
    </row>
    <row r="56" spans="2:32" ht="15.75" x14ac:dyDescent="0.25">
      <c r="B56" s="20">
        <v>1152694490</v>
      </c>
      <c r="C56" s="20" t="s">
        <v>28</v>
      </c>
      <c r="D56" s="30">
        <v>100</v>
      </c>
      <c r="E56" s="31">
        <v>100</v>
      </c>
      <c r="F56" s="31">
        <v>100</v>
      </c>
      <c r="G56" s="31">
        <v>100</v>
      </c>
      <c r="H56" s="31">
        <v>100</v>
      </c>
      <c r="I56" s="31">
        <v>100</v>
      </c>
      <c r="J56" s="31">
        <v>100</v>
      </c>
      <c r="K56" s="35">
        <v>100</v>
      </c>
      <c r="L56" s="30">
        <v>66.67</v>
      </c>
      <c r="M56" s="31">
        <v>100</v>
      </c>
      <c r="N56" s="31">
        <v>100</v>
      </c>
      <c r="O56" s="31">
        <v>100</v>
      </c>
      <c r="P56" s="35">
        <v>100</v>
      </c>
      <c r="Q56" s="30">
        <v>100</v>
      </c>
      <c r="R56" s="31">
        <v>98.33</v>
      </c>
      <c r="S56" s="30">
        <v>100</v>
      </c>
      <c r="T56" s="31">
        <v>100</v>
      </c>
      <c r="U56" s="31">
        <v>100</v>
      </c>
      <c r="V56" s="37">
        <v>100</v>
      </c>
      <c r="W56" s="30">
        <v>100</v>
      </c>
      <c r="X56" s="31">
        <v>100</v>
      </c>
      <c r="Y56" s="9"/>
      <c r="Z56" s="9"/>
      <c r="AA56" s="9"/>
      <c r="AB56" s="21"/>
      <c r="AC56" s="15">
        <f t="shared" si="5"/>
        <v>98.055555555555557</v>
      </c>
      <c r="AD56" s="16">
        <f t="shared" si="6"/>
        <v>100</v>
      </c>
      <c r="AE56" s="22"/>
      <c r="AF56" s="16">
        <f t="shared" si="2"/>
        <v>99.222222222222229</v>
      </c>
    </row>
    <row r="57" spans="2:32" ht="15.75" x14ac:dyDescent="0.25">
      <c r="B57" s="20">
        <v>1020463055</v>
      </c>
      <c r="C57" s="20" t="s">
        <v>28</v>
      </c>
      <c r="D57" s="30">
        <v>100</v>
      </c>
      <c r="E57" s="31">
        <v>100</v>
      </c>
      <c r="F57" s="31">
        <v>100</v>
      </c>
      <c r="G57" s="31">
        <v>100</v>
      </c>
      <c r="H57" s="31">
        <v>100</v>
      </c>
      <c r="I57" s="31">
        <v>100</v>
      </c>
      <c r="J57" s="31">
        <v>100</v>
      </c>
      <c r="K57" s="35">
        <v>100</v>
      </c>
      <c r="L57" s="30">
        <v>100</v>
      </c>
      <c r="M57" s="31">
        <v>100</v>
      </c>
      <c r="N57" s="31">
        <v>100</v>
      </c>
      <c r="O57" s="31">
        <v>100</v>
      </c>
      <c r="P57" s="35">
        <v>100</v>
      </c>
      <c r="Q57" s="30">
        <v>100</v>
      </c>
      <c r="R57" s="31">
        <v>100</v>
      </c>
      <c r="S57" s="30">
        <v>100</v>
      </c>
      <c r="T57" s="31">
        <v>100</v>
      </c>
      <c r="U57" s="31">
        <v>100</v>
      </c>
      <c r="V57" s="37">
        <v>100</v>
      </c>
      <c r="W57" s="30">
        <v>100</v>
      </c>
      <c r="X57" s="31">
        <v>100</v>
      </c>
      <c r="Y57" s="9"/>
      <c r="Z57" s="9"/>
      <c r="AA57" s="9"/>
      <c r="AB57" s="21"/>
      <c r="AC57" s="15">
        <f t="shared" si="5"/>
        <v>100</v>
      </c>
      <c r="AD57" s="16">
        <f t="shared" si="6"/>
        <v>100</v>
      </c>
      <c r="AE57" s="22"/>
      <c r="AF57" s="16">
        <f t="shared" si="2"/>
        <v>100</v>
      </c>
    </row>
    <row r="58" spans="2:32" ht="15.75" x14ac:dyDescent="0.25">
      <c r="B58" s="20">
        <v>43622024</v>
      </c>
      <c r="C58" s="20" t="s">
        <v>28</v>
      </c>
      <c r="D58" s="30">
        <v>100</v>
      </c>
      <c r="E58" s="31">
        <v>100</v>
      </c>
      <c r="F58" s="31">
        <v>100</v>
      </c>
      <c r="G58" s="31">
        <v>100</v>
      </c>
      <c r="H58" s="31">
        <v>100</v>
      </c>
      <c r="I58" s="31">
        <v>100</v>
      </c>
      <c r="J58" s="31">
        <v>100</v>
      </c>
      <c r="K58" s="35">
        <v>85.71</v>
      </c>
      <c r="L58" s="30">
        <v>100</v>
      </c>
      <c r="M58" s="31">
        <v>64.989999999999995</v>
      </c>
      <c r="N58" s="31">
        <v>100</v>
      </c>
      <c r="O58" s="31">
        <v>100</v>
      </c>
      <c r="P58" s="35">
        <v>100</v>
      </c>
      <c r="Q58" s="30">
        <v>100</v>
      </c>
      <c r="R58" s="31">
        <v>98.33</v>
      </c>
      <c r="S58" s="30">
        <v>100</v>
      </c>
      <c r="T58" s="31">
        <v>66.67</v>
      </c>
      <c r="U58" s="31">
        <v>100</v>
      </c>
      <c r="V58" s="37">
        <v>100</v>
      </c>
      <c r="W58" s="30">
        <v>100</v>
      </c>
      <c r="X58" s="31">
        <v>100</v>
      </c>
      <c r="Y58" s="9"/>
      <c r="Z58" s="9"/>
      <c r="AA58" s="9"/>
      <c r="AB58" s="21"/>
      <c r="AC58" s="15">
        <f t="shared" si="5"/>
        <v>96.11055555555555</v>
      </c>
      <c r="AD58" s="16">
        <f t="shared" si="6"/>
        <v>95.236666666666665</v>
      </c>
      <c r="AE58" s="22"/>
      <c r="AF58" s="16">
        <f t="shared" si="2"/>
        <v>95.586222222222219</v>
      </c>
    </row>
    <row r="59" spans="2:32" ht="15.75" x14ac:dyDescent="0.25">
      <c r="B59" s="20">
        <v>1214746106</v>
      </c>
      <c r="C59" s="20" t="s">
        <v>28</v>
      </c>
      <c r="D59" s="30">
        <v>100</v>
      </c>
      <c r="E59" s="31">
        <v>100</v>
      </c>
      <c r="F59" s="31">
        <v>100</v>
      </c>
      <c r="G59" s="31">
        <v>100</v>
      </c>
      <c r="H59" s="31">
        <v>100</v>
      </c>
      <c r="I59" s="31">
        <v>100</v>
      </c>
      <c r="J59" s="31">
        <v>100</v>
      </c>
      <c r="K59" s="35">
        <v>100</v>
      </c>
      <c r="L59" s="30">
        <v>100</v>
      </c>
      <c r="M59" s="31">
        <v>100</v>
      </c>
      <c r="N59" s="31">
        <v>100</v>
      </c>
      <c r="O59" s="31">
        <v>100</v>
      </c>
      <c r="P59" s="35">
        <v>100</v>
      </c>
      <c r="Q59" s="30">
        <v>100</v>
      </c>
      <c r="R59" s="31">
        <v>98.33</v>
      </c>
      <c r="S59" s="30">
        <v>100</v>
      </c>
      <c r="T59" s="31">
        <v>100</v>
      </c>
      <c r="U59" s="31">
        <v>100</v>
      </c>
      <c r="V59" s="37">
        <v>100</v>
      </c>
      <c r="W59" s="30">
        <v>100</v>
      </c>
      <c r="X59" s="31">
        <v>100</v>
      </c>
      <c r="Y59" s="9"/>
      <c r="Z59" s="9"/>
      <c r="AA59" s="9"/>
      <c r="AB59" s="21"/>
      <c r="AC59" s="15">
        <f t="shared" si="5"/>
        <v>99.907222222222217</v>
      </c>
      <c r="AD59" s="16">
        <f t="shared" si="6"/>
        <v>100</v>
      </c>
      <c r="AE59" s="22"/>
      <c r="AF59" s="16">
        <f t="shared" si="2"/>
        <v>99.962888888888898</v>
      </c>
    </row>
    <row r="60" spans="2:32" ht="15.75" x14ac:dyDescent="0.25">
      <c r="B60" s="20">
        <v>1113530583</v>
      </c>
      <c r="C60" s="20" t="s">
        <v>28</v>
      </c>
      <c r="D60" s="30">
        <v>100</v>
      </c>
      <c r="E60" s="31">
        <v>100</v>
      </c>
      <c r="F60" s="31">
        <v>100</v>
      </c>
      <c r="G60" s="31">
        <v>100</v>
      </c>
      <c r="H60" s="31">
        <v>100</v>
      </c>
      <c r="I60" s="31">
        <v>100</v>
      </c>
      <c r="J60" s="31">
        <v>100</v>
      </c>
      <c r="K60" s="35">
        <v>100</v>
      </c>
      <c r="L60" s="30">
        <v>100</v>
      </c>
      <c r="M60" s="31">
        <v>100</v>
      </c>
      <c r="N60" s="31">
        <v>100</v>
      </c>
      <c r="O60" s="31">
        <v>100</v>
      </c>
      <c r="P60" s="35">
        <v>100</v>
      </c>
      <c r="Q60" s="30">
        <v>100</v>
      </c>
      <c r="R60" s="31">
        <v>98.33</v>
      </c>
      <c r="S60" s="30">
        <v>100</v>
      </c>
      <c r="T60" s="31">
        <v>100</v>
      </c>
      <c r="U60" s="31">
        <v>100</v>
      </c>
      <c r="V60" s="37">
        <v>100</v>
      </c>
      <c r="W60" s="30">
        <v>100</v>
      </c>
      <c r="X60" s="31">
        <v>100</v>
      </c>
      <c r="Y60" s="9"/>
      <c r="Z60" s="9"/>
      <c r="AA60" s="9"/>
      <c r="AB60" s="21"/>
      <c r="AC60" s="15">
        <f t="shared" si="5"/>
        <v>99.907222222222217</v>
      </c>
      <c r="AD60" s="16">
        <f t="shared" si="6"/>
        <v>100</v>
      </c>
      <c r="AE60" s="22"/>
      <c r="AF60" s="16">
        <f t="shared" si="2"/>
        <v>99.962888888888898</v>
      </c>
    </row>
    <row r="61" spans="2:32" ht="15.75" x14ac:dyDescent="0.25">
      <c r="B61" s="20">
        <v>53072371</v>
      </c>
      <c r="C61" s="20" t="s">
        <v>28</v>
      </c>
      <c r="D61" s="30">
        <v>100</v>
      </c>
      <c r="E61" s="31">
        <v>100</v>
      </c>
      <c r="F61" s="31">
        <v>100</v>
      </c>
      <c r="G61" s="31">
        <v>100</v>
      </c>
      <c r="H61" s="31">
        <v>100</v>
      </c>
      <c r="I61" s="31">
        <v>100</v>
      </c>
      <c r="J61" s="31">
        <v>100</v>
      </c>
      <c r="K61" s="35">
        <v>100</v>
      </c>
      <c r="L61" s="30">
        <v>66.67</v>
      </c>
      <c r="M61" s="31">
        <v>64.989999999999995</v>
      </c>
      <c r="N61" s="31">
        <v>100</v>
      </c>
      <c r="O61" s="31">
        <v>100</v>
      </c>
      <c r="P61" s="35">
        <v>85.71</v>
      </c>
      <c r="Q61" s="30">
        <v>100</v>
      </c>
      <c r="R61" s="31">
        <v>64.989999999999995</v>
      </c>
      <c r="S61" s="30">
        <v>66.67</v>
      </c>
      <c r="T61" s="31">
        <v>100</v>
      </c>
      <c r="U61" s="31">
        <v>100</v>
      </c>
      <c r="V61" s="37">
        <v>85.71</v>
      </c>
      <c r="W61" s="30">
        <v>100</v>
      </c>
      <c r="X61" s="31">
        <v>83.33</v>
      </c>
      <c r="Y61" s="9"/>
      <c r="Z61" s="9"/>
      <c r="AA61" s="9"/>
      <c r="AB61" s="21"/>
      <c r="AC61" s="15">
        <f t="shared" si="5"/>
        <v>91.480555555555554</v>
      </c>
      <c r="AD61" s="16">
        <f t="shared" si="6"/>
        <v>90.473333333333315</v>
      </c>
      <c r="AE61" s="22"/>
      <c r="AF61" s="16">
        <f t="shared" si="2"/>
        <v>90.876222222222211</v>
      </c>
    </row>
    <row r="62" spans="2:32" ht="15.75" x14ac:dyDescent="0.25">
      <c r="B62" s="20">
        <v>1023928013</v>
      </c>
      <c r="C62" s="20" t="s">
        <v>22</v>
      </c>
      <c r="D62" s="32" t="s">
        <v>29</v>
      </c>
      <c r="E62" s="33" t="s">
        <v>29</v>
      </c>
      <c r="F62" s="33" t="s">
        <v>29</v>
      </c>
      <c r="G62" s="33" t="s">
        <v>29</v>
      </c>
      <c r="H62" s="31" t="s">
        <v>29</v>
      </c>
      <c r="I62" s="31" t="s">
        <v>29</v>
      </c>
      <c r="J62" s="31" t="s">
        <v>29</v>
      </c>
      <c r="K62" s="35" t="s">
        <v>29</v>
      </c>
      <c r="L62" s="30" t="s">
        <v>29</v>
      </c>
      <c r="M62" s="31" t="s">
        <v>29</v>
      </c>
      <c r="N62" s="31">
        <v>100</v>
      </c>
      <c r="O62" s="31">
        <v>100</v>
      </c>
      <c r="P62" s="35">
        <v>100</v>
      </c>
      <c r="Q62" s="30">
        <v>100</v>
      </c>
      <c r="R62" s="31">
        <v>100</v>
      </c>
      <c r="S62" s="30">
        <v>100</v>
      </c>
      <c r="T62" s="31">
        <v>66.67</v>
      </c>
      <c r="U62" s="31">
        <v>100</v>
      </c>
      <c r="V62" s="37">
        <v>100</v>
      </c>
      <c r="W62" s="30">
        <v>100</v>
      </c>
      <c r="X62" s="31">
        <v>0</v>
      </c>
      <c r="Y62" s="9"/>
      <c r="Z62" s="9"/>
      <c r="AA62" s="9"/>
      <c r="AB62" s="21"/>
      <c r="AC62" s="15">
        <f t="shared" si="5"/>
        <v>85.185555555555553</v>
      </c>
      <c r="AD62" s="16">
        <f t="shared" si="6"/>
        <v>100</v>
      </c>
      <c r="AE62" s="22"/>
      <c r="AF62" s="16">
        <f t="shared" si="2"/>
        <v>94.074222222222232</v>
      </c>
    </row>
    <row r="63" spans="2:32" ht="15.75" x14ac:dyDescent="0.25">
      <c r="B63" s="20">
        <v>52907936</v>
      </c>
      <c r="C63" s="19" t="s">
        <v>24</v>
      </c>
      <c r="D63" s="30">
        <v>100</v>
      </c>
      <c r="E63" s="31">
        <v>100</v>
      </c>
      <c r="F63" s="31">
        <v>100</v>
      </c>
      <c r="G63" s="31">
        <v>100</v>
      </c>
      <c r="H63" s="31">
        <v>100</v>
      </c>
      <c r="I63" s="31">
        <v>100</v>
      </c>
      <c r="J63" s="31">
        <v>100</v>
      </c>
      <c r="K63" s="35">
        <v>100</v>
      </c>
      <c r="L63" s="30">
        <v>100</v>
      </c>
      <c r="M63" s="31">
        <v>100</v>
      </c>
      <c r="N63" s="31">
        <v>100</v>
      </c>
      <c r="O63" s="31">
        <v>100</v>
      </c>
      <c r="P63" s="35">
        <v>100</v>
      </c>
      <c r="Q63" s="30">
        <v>100</v>
      </c>
      <c r="R63" s="31">
        <v>100</v>
      </c>
      <c r="S63" s="30">
        <v>100</v>
      </c>
      <c r="T63" s="31">
        <v>100</v>
      </c>
      <c r="U63" s="31">
        <v>100</v>
      </c>
      <c r="V63" s="38" t="s">
        <v>18</v>
      </c>
      <c r="W63" s="30">
        <v>100</v>
      </c>
      <c r="X63" s="33" t="s">
        <v>18</v>
      </c>
      <c r="Y63" s="13"/>
      <c r="Z63" s="12"/>
      <c r="AA63" s="12"/>
      <c r="AB63" s="14"/>
      <c r="AC63" s="15">
        <f t="shared" si="5"/>
        <v>100</v>
      </c>
      <c r="AD63" s="16">
        <f t="shared" si="6"/>
        <v>100</v>
      </c>
      <c r="AE63" s="22"/>
      <c r="AF63" s="16">
        <f>(AC63*40%)+(AD63*60%)</f>
        <v>100</v>
      </c>
    </row>
  </sheetData>
  <sortState xmlns:xlrd2="http://schemas.microsoft.com/office/spreadsheetml/2017/richdata2" ref="B9:C50">
    <sortCondition ref="C9:C50"/>
  </sortState>
  <mergeCells count="5">
    <mergeCell ref="B6:C6"/>
    <mergeCell ref="AC7:AC8"/>
    <mergeCell ref="AD7:AD8"/>
    <mergeCell ref="AE4:AE6"/>
    <mergeCell ref="AF4:AF6"/>
  </mergeCells>
  <conditionalFormatting sqref="C7">
    <cfRule type="duplicateValues" dxfId="3" priority="88"/>
  </conditionalFormatting>
  <conditionalFormatting sqref="C7">
    <cfRule type="duplicateValues" dxfId="2" priority="87"/>
  </conditionalFormatting>
  <conditionalFormatting sqref="B7">
    <cfRule type="duplicateValues" dxfId="1" priority="86"/>
  </conditionalFormatting>
  <conditionalFormatting sqref="B7">
    <cfRule type="duplicateValues" dxfId="0" priority="85"/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AB51062A6C1C499AD4CA47A52C07DD" ma:contentTypeVersion="5" ma:contentTypeDescription="Crear nuevo documento." ma:contentTypeScope="" ma:versionID="5e76e54c905a251d544dbae67b85c14a">
  <xsd:schema xmlns:xsd="http://www.w3.org/2001/XMLSchema" xmlns:xs="http://www.w3.org/2001/XMLSchema" xmlns:p="http://schemas.microsoft.com/office/2006/metadata/properties" xmlns:ns2="d734393e-d638-445c-9b88-79d15f935b1d" xmlns:ns3="e6954425-2d34-48e4-8999-50c97190a379" targetNamespace="http://schemas.microsoft.com/office/2006/metadata/properties" ma:root="true" ma:fieldsID="3e95e61c5ebb8068dfadc100b8cc86ec" ns2:_="" ns3:_="">
    <xsd:import namespace="d734393e-d638-445c-9b88-79d15f935b1d"/>
    <xsd:import namespace="e6954425-2d34-48e4-8999-50c97190a3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34393e-d638-445c-9b88-79d15f935b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54425-2d34-48e4-8999-50c97190a37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6669A2-228C-43A4-AE74-3C6E3D2D1D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90AB5-3506-476A-A4F9-1B2AEA5ACD8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0080649-EEC0-4ACF-94AE-8277385981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34393e-d638-445c-9b88-79d15f935b1d"/>
    <ds:schemaRef ds:uri="e6954425-2d34-48e4-8999-50c97190a3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GIFA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 Johanna Villamil Bolivar</dc:creator>
  <cp:keywords/>
  <dc:description/>
  <cp:lastModifiedBy>Ivan Santiago Gonzalez Valderrama</cp:lastModifiedBy>
  <cp:revision/>
  <dcterms:created xsi:type="dcterms:W3CDTF">2022-07-11T16:18:35Z</dcterms:created>
  <dcterms:modified xsi:type="dcterms:W3CDTF">2023-02-28T00:55:59Z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0x01010062AB51062A6C1C499AD4CA47A52C07DD</vt:lpwstr>
  </property>
</Properties>
</file>